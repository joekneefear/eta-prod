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saric\projects\onsemi\exensio_hosted\mapping\"/>
    </mc:Choice>
  </mc:AlternateContent>
  <xr:revisionPtr revIDLastSave="0" documentId="13_ncr:1_{7E771702-C3F5-4D92-8E85-EAC3A0B985B4}" xr6:coauthVersionLast="46" xr6:coauthVersionMax="46" xr10:uidLastSave="{00000000-0000-0000-0000-000000000000}"/>
  <bookViews>
    <workbookView xWindow="-28920" yWindow="-120" windowWidth="29040" windowHeight="18240" activeTab="4" xr2:uid="{00000000-000D-0000-FFFF-FFFF00000000}"/>
  </bookViews>
  <sheets>
    <sheet name="1-probe_parametric-sxml" sheetId="28" r:id="rId1"/>
    <sheet name="1-probe_parametric_lim-sxml" sheetId="33" r:id="rId2"/>
    <sheet name="4-bin_map-sxml" sheetId="29" r:id="rId3"/>
    <sheet name="31-probe_test_fail_summary-sxml" sheetId="30" r:id="rId4"/>
    <sheet name="Field List" sheetId="31" r:id="rId5"/>
    <sheet name="Mapping" sheetId="3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31" l="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K2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J2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I2" i="30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H2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G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F2" i="30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E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D2" i="30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K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J2" i="29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I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H2" i="29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D2" i="28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K2" i="33"/>
  <c r="K3" i="33"/>
  <c r="K4" i="33"/>
  <c r="K5" i="33"/>
  <c r="K6" i="33"/>
  <c r="K7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J2" i="33"/>
  <c r="J3" i="33"/>
  <c r="J4" i="33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I2" i="33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H2" i="33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G2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F2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E2" i="33"/>
  <c r="E3" i="33"/>
  <c r="E4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2" i="33"/>
  <c r="K2" i="28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J2" i="28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I2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H2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G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F2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C2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D2" i="31"/>
  <c r="C154" i="32"/>
  <c r="C60" i="29" l="1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C38" i="30"/>
  <c r="C42" i="33"/>
  <c r="C42" i="28"/>
  <c r="C155" i="32" l="1"/>
  <c r="E61" i="31" s="1"/>
  <c r="C156" i="32"/>
  <c r="E62" i="31" s="1"/>
  <c r="C157" i="32"/>
  <c r="E63" i="31" s="1"/>
  <c r="C158" i="32"/>
  <c r="E64" i="31" s="1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G2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E88" i="31"/>
  <c r="C63" i="32"/>
  <c r="C62" i="32"/>
  <c r="C61" i="32"/>
  <c r="C60" i="32"/>
  <c r="C53" i="32"/>
  <c r="C54" i="32"/>
  <c r="C55" i="32"/>
  <c r="C56" i="32"/>
  <c r="C57" i="32"/>
  <c r="C58" i="32"/>
  <c r="C59" i="32"/>
  <c r="C27" i="32"/>
  <c r="C52" i="28" l="1"/>
  <c r="C53" i="28"/>
  <c r="C54" i="28"/>
  <c r="C55" i="28"/>
  <c r="C56" i="28"/>
  <c r="C57" i="28"/>
  <c r="C58" i="28"/>
  <c r="C59" i="28"/>
  <c r="C60" i="28"/>
  <c r="C49" i="28"/>
  <c r="C50" i="28"/>
  <c r="C51" i="28"/>
  <c r="C44" i="30"/>
  <c r="C43" i="30"/>
  <c r="C42" i="30"/>
  <c r="C41" i="30"/>
  <c r="C40" i="30"/>
  <c r="C39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177" i="32"/>
  <c r="C176" i="32"/>
  <c r="E82" i="31" s="1"/>
  <c r="C175" i="32"/>
  <c r="C174" i="32"/>
  <c r="E80" i="31" s="1"/>
  <c r="C46" i="28"/>
  <c r="C47" i="28"/>
  <c r="C48" i="28"/>
  <c r="C43" i="28"/>
  <c r="C44" i="28"/>
  <c r="C45" i="28"/>
  <c r="C41" i="28"/>
  <c r="C40" i="28"/>
  <c r="C38" i="28"/>
  <c r="C37" i="28"/>
  <c r="C141" i="32"/>
  <c r="E47" i="31" s="1"/>
  <c r="C142" i="32"/>
  <c r="E48" i="31" s="1"/>
  <c r="C39" i="28"/>
  <c r="C36" i="28"/>
  <c r="E83" i="31" l="1"/>
  <c r="C35" i="28"/>
  <c r="C171" i="32"/>
  <c r="C172" i="32"/>
  <c r="C173" i="32"/>
  <c r="E79" i="31" s="1"/>
  <c r="C170" i="32"/>
  <c r="E76" i="31" s="1"/>
  <c r="C130" i="32"/>
  <c r="E37" i="31" s="1"/>
  <c r="E77" i="31" l="1"/>
  <c r="E78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E142" i="31"/>
  <c r="E141" i="31"/>
  <c r="E140" i="31"/>
  <c r="E139" i="31"/>
  <c r="E138" i="31"/>
  <c r="E137" i="31"/>
  <c r="E136" i="31"/>
  <c r="E135" i="31"/>
  <c r="E134" i="31"/>
  <c r="E133" i="31"/>
  <c r="E132" i="31"/>
  <c r="E131" i="31"/>
  <c r="E130" i="31"/>
  <c r="E129" i="31"/>
  <c r="E128" i="31"/>
  <c r="E127" i="31"/>
  <c r="E126" i="31"/>
  <c r="E125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107" i="31"/>
  <c r="E106" i="31"/>
  <c r="E105" i="31"/>
  <c r="E104" i="31"/>
  <c r="E103" i="31"/>
  <c r="E102" i="31"/>
  <c r="E101" i="31"/>
  <c r="E100" i="31"/>
  <c r="E99" i="31"/>
  <c r="E98" i="31"/>
  <c r="E97" i="31"/>
  <c r="E96" i="31"/>
  <c r="E95" i="31"/>
  <c r="E94" i="31"/>
  <c r="E93" i="31"/>
  <c r="E91" i="31"/>
  <c r="E90" i="31"/>
  <c r="E89" i="31"/>
  <c r="E92" i="31"/>
  <c r="C4" i="32"/>
  <c r="C5" i="32"/>
  <c r="C6" i="32"/>
  <c r="C7" i="32"/>
  <c r="C8" i="32"/>
  <c r="C2" i="28"/>
  <c r="E2" i="28" s="1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128" i="32"/>
  <c r="C169" i="32"/>
  <c r="E75" i="31" s="1"/>
  <c r="C168" i="32"/>
  <c r="C167" i="32"/>
  <c r="E73" i="31" s="1"/>
  <c r="C166" i="32"/>
  <c r="E72" i="31" s="1"/>
  <c r="C165" i="32"/>
  <c r="E71" i="31" s="1"/>
  <c r="C164" i="32"/>
  <c r="E70" i="31" s="1"/>
  <c r="C163" i="32"/>
  <c r="E69" i="31" s="1"/>
  <c r="C162" i="32"/>
  <c r="E68" i="31" s="1"/>
  <c r="C161" i="32"/>
  <c r="E67" i="31" s="1"/>
  <c r="C160" i="32"/>
  <c r="E66" i="31" s="1"/>
  <c r="C159" i="32"/>
  <c r="E65" i="31" s="1"/>
  <c r="E60" i="31"/>
  <c r="C153" i="32"/>
  <c r="E59" i="31" s="1"/>
  <c r="C152" i="32"/>
  <c r="E58" i="31" s="1"/>
  <c r="C151" i="32"/>
  <c r="E57" i="31" s="1"/>
  <c r="C150" i="32"/>
  <c r="E56" i="31" s="1"/>
  <c r="C149" i="32"/>
  <c r="E55" i="31" s="1"/>
  <c r="C148" i="32"/>
  <c r="C147" i="32"/>
  <c r="E53" i="31" s="1"/>
  <c r="C146" i="32"/>
  <c r="C145" i="32"/>
  <c r="C144" i="32"/>
  <c r="E50" i="31" s="1"/>
  <c r="C143" i="32"/>
  <c r="E49" i="31" s="1"/>
  <c r="C140" i="32"/>
  <c r="C139" i="32"/>
  <c r="E45" i="31" s="1"/>
  <c r="C138" i="32"/>
  <c r="E44" i="31" s="1"/>
  <c r="C137" i="32"/>
  <c r="C136" i="32"/>
  <c r="C135" i="32"/>
  <c r="C134" i="32"/>
  <c r="C133" i="32"/>
  <c r="C132" i="32"/>
  <c r="E39" i="31" s="1"/>
  <c r="C131" i="32"/>
  <c r="C129" i="32"/>
  <c r="E36" i="31" s="1"/>
  <c r="C127" i="32"/>
  <c r="C126" i="32"/>
  <c r="C125" i="32"/>
  <c r="C124" i="32"/>
  <c r="C123" i="32"/>
  <c r="C122" i="32"/>
  <c r="C121" i="32"/>
  <c r="C120" i="32"/>
  <c r="C119" i="32"/>
  <c r="C118" i="32"/>
  <c r="C117" i="32"/>
  <c r="C116" i="32"/>
  <c r="C115" i="32"/>
  <c r="C114" i="32"/>
  <c r="C113" i="32"/>
  <c r="C112" i="32"/>
  <c r="C111" i="32"/>
  <c r="E29" i="31" s="1"/>
  <c r="C110" i="32"/>
  <c r="C109" i="32"/>
  <c r="C108" i="32"/>
  <c r="C107" i="32"/>
  <c r="C106" i="32"/>
  <c r="C105" i="32"/>
  <c r="C104" i="32"/>
  <c r="C103" i="32"/>
  <c r="C102" i="32"/>
  <c r="C101" i="32"/>
  <c r="C100" i="32"/>
  <c r="C99" i="32"/>
  <c r="C98" i="32"/>
  <c r="C97" i="32"/>
  <c r="C96" i="32"/>
  <c r="C95" i="32"/>
  <c r="C94" i="32"/>
  <c r="C93" i="32"/>
  <c r="C92" i="32"/>
  <c r="C91" i="32"/>
  <c r="C90" i="32"/>
  <c r="C89" i="32"/>
  <c r="C88" i="32"/>
  <c r="C87" i="32"/>
  <c r="C86" i="32"/>
  <c r="C85" i="32"/>
  <c r="C84" i="32"/>
  <c r="C83" i="32"/>
  <c r="C82" i="32"/>
  <c r="C81" i="32"/>
  <c r="C80" i="32"/>
  <c r="C79" i="32"/>
  <c r="C78" i="32"/>
  <c r="C77" i="32"/>
  <c r="E27" i="31" s="1"/>
  <c r="C76" i="32"/>
  <c r="E26" i="31" s="1"/>
  <c r="C75" i="32"/>
  <c r="C74" i="32"/>
  <c r="C73" i="32"/>
  <c r="C72" i="32"/>
  <c r="C71" i="32"/>
  <c r="C70" i="32"/>
  <c r="C69" i="32"/>
  <c r="C68" i="32"/>
  <c r="C67" i="32"/>
  <c r="C66" i="32"/>
  <c r="C65" i="32"/>
  <c r="C64" i="32"/>
  <c r="C52" i="32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E7" i="31" s="1"/>
  <c r="C34" i="32"/>
  <c r="C33" i="32"/>
  <c r="C32" i="32"/>
  <c r="C31" i="32"/>
  <c r="C30" i="32"/>
  <c r="C29" i="32"/>
  <c r="C28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E2" i="31" s="1"/>
  <c r="C14" i="32"/>
  <c r="C13" i="32"/>
  <c r="C12" i="32"/>
  <c r="C11" i="32"/>
  <c r="C10" i="32"/>
  <c r="E5" i="31" s="1"/>
  <c r="C9" i="32"/>
  <c r="C3" i="32"/>
  <c r="C2" i="32"/>
  <c r="E4" i="31" l="1"/>
  <c r="E6" i="31"/>
  <c r="E18" i="31"/>
  <c r="E42" i="31"/>
  <c r="E19" i="31"/>
  <c r="E43" i="31"/>
  <c r="E13" i="31"/>
  <c r="E34" i="31"/>
  <c r="E25" i="31"/>
  <c r="E74" i="31"/>
  <c r="E14" i="31"/>
  <c r="E35" i="31"/>
  <c r="E20" i="31"/>
  <c r="E46" i="31"/>
  <c r="E15" i="31"/>
  <c r="E38" i="31"/>
  <c r="E22" i="31"/>
  <c r="E51" i="31"/>
  <c r="E30" i="31"/>
  <c r="E81" i="31"/>
  <c r="E23" i="31"/>
  <c r="E52" i="31"/>
  <c r="E8" i="31"/>
  <c r="E9" i="31"/>
  <c r="E28" i="31"/>
  <c r="E11" i="31"/>
  <c r="E31" i="31"/>
  <c r="E16" i="31"/>
  <c r="E40" i="31"/>
  <c r="E24" i="31"/>
  <c r="E54" i="31"/>
  <c r="E32" i="31"/>
  <c r="E33" i="31"/>
  <c r="E17" i="31"/>
  <c r="E41" i="31"/>
  <c r="E12" i="31"/>
  <c r="E10" i="31"/>
  <c r="E3" i="31"/>
  <c r="E21" i="3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2" description="Connection to the 'Table2' query in the workbook." type="5" refreshedVersion="6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<sst xmlns="http://schemas.openxmlformats.org/spreadsheetml/2006/main" count="1382" uniqueCount="507">
  <si>
    <t>Y</t>
  </si>
  <si>
    <t>XML Section</t>
  </si>
  <si>
    <t>XML Field</t>
  </si>
  <si>
    <t>How to Populate</t>
  </si>
  <si>
    <t>Fab</t>
  </si>
  <si>
    <t>vDbFab</t>
  </si>
  <si>
    <t>vDbSrcLot</t>
  </si>
  <si>
    <t>Id</t>
  </si>
  <si>
    <t>vDbLot</t>
  </si>
  <si>
    <t>vDbStartTime</t>
  </si>
  <si>
    <t>vDbEndTime</t>
  </si>
  <si>
    <t>TesterType</t>
  </si>
  <si>
    <t>vDbStep</t>
  </si>
  <si>
    <t>Program Group</t>
  </si>
  <si>
    <t>OperatorName</t>
  </si>
  <si>
    <t>vDbOperator</t>
  </si>
  <si>
    <t>vDbProgGroup</t>
  </si>
  <si>
    <t>JobRevision</t>
  </si>
  <si>
    <t>LotId</t>
  </si>
  <si>
    <t>StartTime</t>
  </si>
  <si>
    <t>FinishTime</t>
  </si>
  <si>
    <t>NodeName</t>
  </si>
  <si>
    <t>JobName</t>
  </si>
  <si>
    <t>FileName</t>
  </si>
  <si>
    <t>PartType</t>
  </si>
  <si>
    <t>DataPort</t>
  </si>
  <si>
    <t>TestFacility</t>
  </si>
  <si>
    <t>SublotId</t>
  </si>
  <si>
    <t>TestTemperature</t>
  </si>
  <si>
    <t>If not ends ".S", ".S" is being added behind the "."</t>
  </si>
  <si>
    <t>WaferId</t>
  </si>
  <si>
    <t>vDbWfNum</t>
  </si>
  <si>
    <t>TestName</t>
  </si>
  <si>
    <t>TestNumber</t>
  </si>
  <si>
    <t>Units</t>
  </si>
  <si>
    <t>X</t>
  </si>
  <si>
    <t>HardBin</t>
  </si>
  <si>
    <t>SoftBin</t>
  </si>
  <si>
    <t>DbDieXYIndexes</t>
  </si>
  <si>
    <t>HardBin (Index)</t>
  </si>
  <si>
    <t>SoftBin (Index)</t>
  </si>
  <si>
    <t>TestSite (Index)</t>
  </si>
  <si>
    <t>Name</t>
  </si>
  <si>
    <t>Number</t>
  </si>
  <si>
    <t>Type</t>
  </si>
  <si>
    <t>PassFail</t>
  </si>
  <si>
    <t>Site</t>
  </si>
  <si>
    <t>TestName (KeyCond)</t>
  </si>
  <si>
    <t>TestNumber (KeyCond)</t>
  </si>
  <si>
    <t>SXML Element</t>
  </si>
  <si>
    <t>XML Attribute</t>
  </si>
  <si>
    <t>op_log linked index 5</t>
  </si>
  <si>
    <t>Area</t>
  </si>
  <si>
    <t>op_log linked index 1</t>
  </si>
  <si>
    <t>op_log linked index 2</t>
  </si>
  <si>
    <t>FloorId</t>
  </si>
  <si>
    <t>ExecType</t>
  </si>
  <si>
    <t>ExecVersion</t>
  </si>
  <si>
    <t>op_log linked index 8</t>
  </si>
  <si>
    <t>op_log linked index 9</t>
  </si>
  <si>
    <t>vDbProduct</t>
  </si>
  <si>
    <t>vDbEquip6</t>
  </si>
  <si>
    <t>vDbRecipe</t>
  </si>
  <si>
    <t>Field</t>
  </si>
  <si>
    <t>Proposed Destination Field</t>
  </si>
  <si>
    <t>How to populate</t>
  </si>
  <si>
    <t>MES Product ID / Mfg part #</t>
  </si>
  <si>
    <t>PRODUCT table</t>
  </si>
  <si>
    <t>Metadata</t>
  </si>
  <si>
    <t>Family (PTI2)</t>
  </si>
  <si>
    <t>FAMILY table</t>
  </si>
  <si>
    <t>vDBFamily</t>
  </si>
  <si>
    <t>Process</t>
  </si>
  <si>
    <t>PROCESS table</t>
  </si>
  <si>
    <t>vDbProcess</t>
  </si>
  <si>
    <t>Technology</t>
  </si>
  <si>
    <t>TECHNOLOGY table</t>
  </si>
  <si>
    <t>vDbTechnology</t>
  </si>
  <si>
    <t>Package ID/Type</t>
  </si>
  <si>
    <t>Processing Step</t>
  </si>
  <si>
    <t>Operator ID</t>
  </si>
  <si>
    <t>Operator</t>
  </si>
  <si>
    <t>Source Fab</t>
  </si>
  <si>
    <t>Source Lot</t>
  </si>
  <si>
    <t>DbSrcLot</t>
  </si>
  <si>
    <t>Lot class</t>
  </si>
  <si>
    <t>vDbLotClass</t>
  </si>
  <si>
    <t>Wafer ID</t>
  </si>
  <si>
    <t>wafer ID</t>
  </si>
  <si>
    <t>DbWaferIndex</t>
  </si>
  <si>
    <t>Lead frame ID / Strip ID (class 1, 12, 31)</t>
  </si>
  <si>
    <t>Wafer number</t>
  </si>
  <si>
    <t>wafer number</t>
  </si>
  <si>
    <t>DbWfNum</t>
  </si>
  <si>
    <t>Lot Class</t>
  </si>
  <si>
    <t>Scribe ID</t>
  </si>
  <si>
    <t>Wafer Class</t>
  </si>
  <si>
    <t>vDbWaferClass</t>
  </si>
  <si>
    <t>Equip[1]</t>
  </si>
  <si>
    <t>eq index</t>
  </si>
  <si>
    <t>vDbEquipName</t>
  </si>
  <si>
    <t>Tester Type/Model</t>
  </si>
  <si>
    <t>Equip[1] Type</t>
  </si>
  <si>
    <t>Equip[2] in Probe/Sort</t>
  </si>
  <si>
    <t>Prober Type</t>
  </si>
  <si>
    <t>Equip[2] Type</t>
  </si>
  <si>
    <t>Handler ID</t>
  </si>
  <si>
    <t>Equip[2] in Final Test</t>
  </si>
  <si>
    <t>Handler Type</t>
  </si>
  <si>
    <t>Equip[3]</t>
  </si>
  <si>
    <t>Probe Card Type</t>
  </si>
  <si>
    <t>Equip[3] Type</t>
  </si>
  <si>
    <t>Equip[4]</t>
  </si>
  <si>
    <t>Equip[5]</t>
  </si>
  <si>
    <t>Recipe</t>
  </si>
  <si>
    <t>Equip[6]</t>
  </si>
  <si>
    <t>op_log index</t>
  </si>
  <si>
    <t>DbMetaData</t>
  </si>
  <si>
    <t>op_log linked index 3</t>
  </si>
  <si>
    <t>op_log linked index 4</t>
  </si>
  <si>
    <t>op_log linked index 6</t>
  </si>
  <si>
    <t>Stepper job ID</t>
  </si>
  <si>
    <t>op_log linked index 7</t>
  </si>
  <si>
    <t>op_log linked index 10</t>
  </si>
  <si>
    <t>op_log linked index 11</t>
  </si>
  <si>
    <t>op_log linked index 12</t>
  </si>
  <si>
    <t>op_log linked index 13</t>
  </si>
  <si>
    <t>op_log linked index 14</t>
  </si>
  <si>
    <t>op_log linked index 15</t>
  </si>
  <si>
    <t>op_log linked index 16</t>
  </si>
  <si>
    <t>op_log linked index 17</t>
  </si>
  <si>
    <t>op_log linked index 18</t>
  </si>
  <si>
    <t>op_log linked index 19</t>
  </si>
  <si>
    <t>op_log linked index 20</t>
  </si>
  <si>
    <t>op_log linked index 21*</t>
  </si>
  <si>
    <t>op_log linked index 22</t>
  </si>
  <si>
    <t>op_log linked index 23</t>
  </si>
  <si>
    <t>op_log linked index 24</t>
  </si>
  <si>
    <t>op_log linked index 25</t>
  </si>
  <si>
    <t>op_log linked index 26</t>
  </si>
  <si>
    <t>op_log linked index 27</t>
  </si>
  <si>
    <t>op_log linked index 28</t>
  </si>
  <si>
    <t>op_log linked index 5 - Temperature</t>
  </si>
  <si>
    <t>op_log linked index 2 - Test Floor</t>
  </si>
  <si>
    <t>op_log linked index 8 - Tester Software</t>
  </si>
  <si>
    <t>op_log linked index 9 - Tester Software Version</t>
  </si>
  <si>
    <t>vDbEquip5, vDbProgRev</t>
  </si>
  <si>
    <t>LotClass</t>
  </si>
  <si>
    <t>LotNumber</t>
  </si>
  <si>
    <t>op_log linked index 26 - Subcon lot id</t>
  </si>
  <si>
    <t>Comment</t>
  </si>
  <si>
    <t>Name in Yield Metadata Standardization</t>
  </si>
  <si>
    <t>Lot ID</t>
  </si>
  <si>
    <t>Operation (TestCode)</t>
  </si>
  <si>
    <t>WaferPart</t>
  </si>
  <si>
    <t>End Time</t>
  </si>
  <si>
    <t>Test Program Name</t>
  </si>
  <si>
    <t>Start Time</t>
  </si>
  <si>
    <t>Wafer Number</t>
  </si>
  <si>
    <t>op_log linked index 3 - File Name</t>
  </si>
  <si>
    <t>Bank</t>
  </si>
  <si>
    <t>Bank Lot</t>
  </si>
  <si>
    <t>Silicon Vendor Name</t>
  </si>
  <si>
    <t>Inventory Lot #</t>
  </si>
  <si>
    <t>Silicon Lot</t>
  </si>
  <si>
    <t>vDbFamily</t>
  </si>
  <si>
    <t>vDbWaferIndex</t>
  </si>
  <si>
    <t>Equip[5] - Test Program Revision</t>
  </si>
  <si>
    <t>Equip[6] - Test Facility</t>
  </si>
  <si>
    <t>Equip[1] - Tester/Tool ID</t>
  </si>
  <si>
    <t>vDbEquip1</t>
  </si>
  <si>
    <t>vDbEquip2</t>
  </si>
  <si>
    <t>Equip[2] - Prober ID</t>
  </si>
  <si>
    <t>Equip[3] - Probe Card</t>
  </si>
  <si>
    <t>vDbEquip3</t>
  </si>
  <si>
    <t>Equip[4] - Fairchild Device</t>
  </si>
  <si>
    <t>vDbEquip4</t>
  </si>
  <si>
    <t>op_log linked index 4 - PTI4/PAL</t>
  </si>
  <si>
    <t>op_log linked index 6 - Tester Host Name</t>
  </si>
  <si>
    <t>op_log linked index 10 - Application Board</t>
  </si>
  <si>
    <t>op_log linked index 11 - Performance Board</t>
  </si>
  <si>
    <t>op_log linked index 12 - Cable ID</t>
  </si>
  <si>
    <t>op_log linked index 13 - DUT Board</t>
  </si>
  <si>
    <t>op_log linked index 14 - Tester DLL</t>
  </si>
  <si>
    <t>op_log linked index 15 - Tester DLL Version</t>
  </si>
  <si>
    <t>op_log linked index 17 - PDS File Version</t>
  </si>
  <si>
    <t>op_log linked index 16 - PDS File</t>
  </si>
  <si>
    <t>op_log linked index 18 - Load Board</t>
  </si>
  <si>
    <t>op_log linked index 19 - Loard Board Type</t>
  </si>
  <si>
    <t>op_log linked index 20 - EBR Number</t>
  </si>
  <si>
    <t>op_log linked index 21 - Mask / Mask Set</t>
  </si>
  <si>
    <t>op_log linked index 22 - Process Family</t>
  </si>
  <si>
    <t>AUXFile</t>
  </si>
  <si>
    <t>op_log linked index 23 - Test Head</t>
  </si>
  <si>
    <t>op_log linked index 24 - Product Code</t>
  </si>
  <si>
    <t>op_log linked index 25 - Card Lens Module</t>
  </si>
  <si>
    <t>op_log linked index 27 - Subcon Product</t>
  </si>
  <si>
    <t>op_log linked index 28 - Alternate Lot</t>
  </si>
  <si>
    <t>Test Site ID</t>
  </si>
  <si>
    <t>Serial/Sequence Number</t>
  </si>
  <si>
    <t>ECID</t>
  </si>
  <si>
    <t>Part Pass/Fail Flag (from tester)</t>
  </si>
  <si>
    <t>Time Since First Touchdown</t>
  </si>
  <si>
    <t>Time Since Previous Touchdown</t>
  </si>
  <si>
    <t>Test Execution Time</t>
  </si>
  <si>
    <t>Wafer Original die x/y coordinate</t>
  </si>
  <si>
    <t>BinDesc</t>
  </si>
  <si>
    <t>Hardbin number</t>
  </si>
  <si>
    <t>Softbin number</t>
  </si>
  <si>
    <t>Pin/pin path</t>
  </si>
  <si>
    <t>Test flags / alarms (multiple)</t>
  </si>
  <si>
    <t>LotG/SourceLot</t>
  </si>
  <si>
    <t>Status</t>
  </si>
  <si>
    <t>RecursionLevels</t>
  </si>
  <si>
    <t>ProcessedNodes</t>
  </si>
  <si>
    <t>SearchedLot</t>
  </si>
  <si>
    <t>LotG/SourceLot/Lot</t>
  </si>
  <si>
    <t>FoundryLot</t>
  </si>
  <si>
    <t>Bank Type</t>
  </si>
  <si>
    <t>PromisLot</t>
  </si>
  <si>
    <t>Error</t>
  </si>
  <si>
    <t>STDFVersion</t>
  </si>
  <si>
    <t>CPUType</t>
  </si>
  <si>
    <t>CMDLine</t>
  </si>
  <si>
    <t>ModificationTime</t>
  </si>
  <si>
    <t>UserText</t>
  </si>
  <si>
    <t>SetupId</t>
  </si>
  <si>
    <t>FlowId</t>
  </si>
  <si>
    <t>PackageType</t>
  </si>
  <si>
    <t>SetupTime</t>
  </si>
  <si>
    <t>DesignRevision</t>
  </si>
  <si>
    <t>SpecName</t>
  </si>
  <si>
    <t>EngLotId</t>
  </si>
  <si>
    <t>FacilityId</t>
  </si>
  <si>
    <t>SpecVersion</t>
  </si>
  <si>
    <t>StationNumber</t>
  </si>
  <si>
    <t>FamilyId</t>
  </si>
  <si>
    <t>DateCode</t>
  </si>
  <si>
    <t>ProcessId</t>
  </si>
  <si>
    <t>CenterDieX</t>
  </si>
  <si>
    <t>CenterDieY</t>
  </si>
  <si>
    <t>DieWidth</t>
  </si>
  <si>
    <t>SiteCount</t>
  </si>
  <si>
    <t>FlatOrientation</t>
  </si>
  <si>
    <t>WaferDieUnits</t>
  </si>
  <si>
    <t>WaferDiameter</t>
  </si>
  <si>
    <t>DieHeight</t>
  </si>
  <si>
    <t>DIBBoardId</t>
  </si>
  <si>
    <t>HandlerId</t>
  </si>
  <si>
    <t>Head</t>
  </si>
  <si>
    <t>CardId</t>
  </si>
  <si>
    <t>HighLimitScale</t>
  </si>
  <si>
    <t>TestDescription</t>
  </si>
  <si>
    <t>ResultScale</t>
  </si>
  <si>
    <t>LowLimitScale</t>
  </si>
  <si>
    <t>LowLimit</t>
  </si>
  <si>
    <t>TestType</t>
  </si>
  <si>
    <t>HighUnits</t>
  </si>
  <si>
    <t>GoodCount</t>
  </si>
  <si>
    <t>PartCount</t>
  </si>
  <si>
    <t>RetestCount</t>
  </si>
  <si>
    <t>Count</t>
  </si>
  <si>
    <t>TestSumValue</t>
  </si>
  <si>
    <t>ExecutionCount</t>
  </si>
  <si>
    <t>TestAvgTime</t>
  </si>
  <si>
    <t>TestMaxValue</t>
  </si>
  <si>
    <t>Whole Name</t>
  </si>
  <si>
    <t>FailCount</t>
  </si>
  <si>
    <t>TestMinValue</t>
  </si>
  <si>
    <t>PmId</t>
  </si>
  <si>
    <t>TestTime</t>
  </si>
  <si>
    <t>TestCount</t>
  </si>
  <si>
    <t>PartId</t>
  </si>
  <si>
    <t>Val</t>
  </si>
  <si>
    <t>PF</t>
  </si>
  <si>
    <t>Constant: "Probe"</t>
  </si>
  <si>
    <t>Reticle Id</t>
  </si>
  <si>
    <t>Index Type</t>
  </si>
  <si>
    <t>Key/non-key</t>
  </si>
  <si>
    <t>Subcon lot id</t>
  </si>
  <si>
    <t>Test Facility</t>
  </si>
  <si>
    <t>Tester Host Name</t>
  </si>
  <si>
    <t>Temperature</t>
  </si>
  <si>
    <t>Tester Software</t>
  </si>
  <si>
    <t>Test Floor</t>
  </si>
  <si>
    <t>Test Head</t>
  </si>
  <si>
    <t>Test Program Revision</t>
  </si>
  <si>
    <t>Tester Software Version</t>
  </si>
  <si>
    <t>PDS File</t>
  </si>
  <si>
    <t>Tester/Tool ID</t>
  </si>
  <si>
    <t>Prober ID</t>
  </si>
  <si>
    <t>Equip[2]</t>
  </si>
  <si>
    <t>Probe Card</t>
  </si>
  <si>
    <t>Fairchild Device</t>
  </si>
  <si>
    <t>PTI4/PAL</t>
  </si>
  <si>
    <t>Application Board</t>
  </si>
  <si>
    <t>Performance Board</t>
  </si>
  <si>
    <t>Cable ID</t>
  </si>
  <si>
    <t>DUT Board</t>
  </si>
  <si>
    <t>Tester DLL</t>
  </si>
  <si>
    <t>Tester DLL Version</t>
  </si>
  <si>
    <t>PDS File Version</t>
  </si>
  <si>
    <t>Load Board</t>
  </si>
  <si>
    <t>Loard Board Type</t>
  </si>
  <si>
    <t>EBR Number</t>
  </si>
  <si>
    <t>Mask / Mask Set</t>
  </si>
  <si>
    <t>Process Family</t>
  </si>
  <si>
    <t>Product Code</t>
  </si>
  <si>
    <t>Card Lens Module</t>
  </si>
  <si>
    <t>Subcon Product</t>
  </si>
  <si>
    <t>Alternate Lot</t>
  </si>
  <si>
    <t>op_log linked index 21</t>
  </si>
  <si>
    <t>res index</t>
  </si>
  <si>
    <t>non-key</t>
  </si>
  <si>
    <t>key</t>
  </si>
  <si>
    <t>orig_x</t>
  </si>
  <si>
    <t>orig_y</t>
  </si>
  <si>
    <t>reticle_x</t>
  </si>
  <si>
    <t>recitcle_y</t>
  </si>
  <si>
    <t>reticle_id</t>
  </si>
  <si>
    <t>Integer</t>
  </si>
  <si>
    <t>String</t>
  </si>
  <si>
    <t>Data Type</t>
  </si>
  <si>
    <t>Set to -1 by default if intra-reticle coordinates not available.</t>
  </si>
  <si>
    <t>Set to -1 by default if reticle coordinates are not available.</t>
  </si>
  <si>
    <t>(Index)</t>
  </si>
  <si>
    <t>Probe ID Type</t>
  </si>
  <si>
    <t>die_index</t>
  </si>
  <si>
    <t>ecid</t>
  </si>
  <si>
    <t>pass_or_fail</t>
  </si>
  <si>
    <t>bindesc</t>
  </si>
  <si>
    <t>Test site ID</t>
  </si>
  <si>
    <t>test_site</t>
  </si>
  <si>
    <t>Touchdown number</t>
  </si>
  <si>
    <t>touchdown_num</t>
  </si>
  <si>
    <t>Field Type</t>
  </si>
  <si>
    <t>parameter</t>
  </si>
  <si>
    <t>condition</t>
  </si>
  <si>
    <t>Same as die_x, die_y, do NOT call DbDieXYIndexes for these.  Used to retain original X,Y after normalization.</t>
  </si>
  <si>
    <t>Constant: "Probe Parametric"</t>
  </si>
  <si>
    <t>Lot Type</t>
  </si>
  <si>
    <t>lot class</t>
  </si>
  <si>
    <t>ModeCode</t>
  </si>
  <si>
    <t>TestCode</t>
  </si>
  <si>
    <t>STDF attribute</t>
  </si>
  <si>
    <t>MIR.PART_TYP</t>
  </si>
  <si>
    <t>MIR.EXEC_TYP</t>
  </si>
  <si>
    <t>MIR.SPEC_NAM</t>
  </si>
  <si>
    <t>MIR.JOB_REV</t>
  </si>
  <si>
    <t>MIR.EXEC_VER</t>
  </si>
  <si>
    <t>MIR.SPEC_VER</t>
  </si>
  <si>
    <t>MIR.NODE_NAM</t>
  </si>
  <si>
    <t>MIR.MODE_COD</t>
  </si>
  <si>
    <t>MIR.TEST_COD</t>
  </si>
  <si>
    <t>MIR.JOB_NAM</t>
  </si>
  <si>
    <t>MIR.LOT_ID</t>
  </si>
  <si>
    <t>MIR.FLOW_ID</t>
  </si>
  <si>
    <t>MIR.TST_TEMP</t>
  </si>
  <si>
    <t>MRR.FINISH_T</t>
  </si>
  <si>
    <t>MIR.START_T</t>
  </si>
  <si>
    <t>MIR.TSTR_TYP</t>
  </si>
  <si>
    <t>MIR.ENG_ID</t>
  </si>
  <si>
    <t>MIR.SETUP_ID</t>
  </si>
  <si>
    <t>MIR.DATE_COD</t>
  </si>
  <si>
    <t>MIR.FLOOR_ID</t>
  </si>
  <si>
    <t>MIR.FAMILY_ID</t>
  </si>
  <si>
    <t>MIR.SBLOT_ID</t>
  </si>
  <si>
    <t>MIR.AUX_FILE</t>
  </si>
  <si>
    <t>MIR.PROC_ID</t>
  </si>
  <si>
    <t>MIR.STAT_NUM</t>
  </si>
  <si>
    <t>MIR.OPER_NAM</t>
  </si>
  <si>
    <t>MIR.DSGN_REV</t>
  </si>
  <si>
    <t>MIR.SETUP_T</t>
  </si>
  <si>
    <t>MIR.PKG_TYP</t>
  </si>
  <si>
    <t>MIR.RTST_COD</t>
  </si>
  <si>
    <t>MIR.PROT_COD</t>
  </si>
  <si>
    <t>MIR.BURN_TIM</t>
  </si>
  <si>
    <t>MIR.CMOD_COD</t>
  </si>
  <si>
    <t>MIR.USER_TXT</t>
  </si>
  <si>
    <t>MIR.OPER_FRQ</t>
  </si>
  <si>
    <t>MIR.FACIL_ID</t>
  </si>
  <si>
    <t>MIR.SERL_NUM</t>
  </si>
  <si>
    <t>MIR.SUPR_NAM</t>
  </si>
  <si>
    <t>MRR.USER_DESC</t>
  </si>
  <si>
    <t>MRR.DISP_COD</t>
  </si>
  <si>
    <t>MRR.EXC_DESC</t>
  </si>
  <si>
    <t>MIR.ROM_COD</t>
  </si>
  <si>
    <t>STDF Attribute</t>
  </si>
  <si>
    <t>STDF Atrribute</t>
  </si>
  <si>
    <t>SXML Attribute</t>
  </si>
  <si>
    <t>Test Mode</t>
  </si>
  <si>
    <t>SDR.HAND_ID</t>
  </si>
  <si>
    <t>SDR.CARD_ID</t>
  </si>
  <si>
    <t>SDR.HAND_TYP</t>
  </si>
  <si>
    <t>SDR.CARD_TYP</t>
  </si>
  <si>
    <t>LotG</t>
  </si>
  <si>
    <t>NULL, ISG specific</t>
  </si>
  <si>
    <t>PRR</t>
  </si>
  <si>
    <t>If no die ID or ECID present in data file, create a "virtual ID" uniquely identifying the die/PART.
Probe or wafer/frame/ring-level final test:  "lotId_WaferNumber:x#:y#"; "LD595A_12:x45:y-6"
Module or sub assembly level test: "lot-id:module-id" (this scenario is unlikely because the unique module ID will be passed into the IFF as a unique serial #/ECID)
Singulated final test: "lot-id:serial-number"
Call DbDieIdIndex() to establish to activate DLT</t>
  </si>
  <si>
    <t>Bin Pass/Fail Flag</t>
  </si>
  <si>
    <t>Don't have this information</t>
  </si>
  <si>
    <t>PRR.TEST_T</t>
  </si>
  <si>
    <t>Set To -1</t>
  </si>
  <si>
    <t>SBR.BIN_NAME</t>
  </si>
  <si>
    <t>Don't know</t>
  </si>
  <si>
    <t>PRR.SITE_NUM</t>
  </si>
  <si>
    <t>SDR.LOAD_ID</t>
  </si>
  <si>
    <t>SDR.LOAD_TYP</t>
  </si>
  <si>
    <t>SBR/HBR.HEAD_NUM</t>
  </si>
  <si>
    <t>SBR/HBR.SITE_NUM</t>
  </si>
  <si>
    <t>SBR.SBIN_PF/HBR.HBIN_PF</t>
  </si>
  <si>
    <t>SBR.SBIN_NUM/HBR.HBIN_NUM</t>
  </si>
  <si>
    <t>SBR.SBIN_CNT/HBR.HBIN_CNT</t>
  </si>
  <si>
    <t>SBR.SBIN_NAM/HBR.HBIN_NAM</t>
  </si>
  <si>
    <t>Not mapped</t>
  </si>
  <si>
    <t>LotG or LTM; Type of lot Engineering/Production,…</t>
  </si>
  <si>
    <t>Prober ID Type</t>
  </si>
  <si>
    <t>SDR.CABL_ID</t>
  </si>
  <si>
    <t>SDR.DIB_ID</t>
  </si>
  <si>
    <t>SDR.EXTR_ID</t>
  </si>
  <si>
    <t>LotG or Agile; Eric</t>
  </si>
  <si>
    <t>File</t>
  </si>
  <si>
    <t>File/Lot</t>
  </si>
  <si>
    <t>File/Lot/Wafer</t>
  </si>
  <si>
    <t>File/Lot/Parameters/Param</t>
  </si>
  <si>
    <t>File/Lot/Wafer/ParametricData/Unit</t>
  </si>
  <si>
    <t>File/Lot/SummaryData/BinInfo/Bin</t>
  </si>
  <si>
    <t>File/Audits/Audit</t>
  </si>
  <si>
    <t>File/Lot/Wmc</t>
  </si>
  <si>
    <t>File/Lot/Sites/Site</t>
  </si>
  <si>
    <t>File/Lot/SummaryData/PartInfo/Part</t>
  </si>
  <si>
    <t>File/Lot/SummaryData/TestInfo/Test</t>
  </si>
  <si>
    <t>DwPlm</t>
  </si>
  <si>
    <t>PAL4_CD</t>
  </si>
  <si>
    <t>WFR_TECH_VARIANT_ID</t>
  </si>
  <si>
    <t>WFR_FAB_MASK</t>
  </si>
  <si>
    <t>LotG or Agile; Firs 4 chars of WFR_FAB_MASK_CONFIG_ID + : + PART_ID</t>
  </si>
  <si>
    <t>WFR_FAB_MASK_CONFIG_ID</t>
  </si>
  <si>
    <t>Not populated in Exensio Hosted</t>
  </si>
  <si>
    <t>DbMetaData("Data File Name", vFileName)</t>
  </si>
  <si>
    <t>Prober/Handler</t>
  </si>
  <si>
    <t>Measuring Equipment</t>
  </si>
  <si>
    <t>Populate it with MIR.NODE_NAM</t>
  </si>
  <si>
    <t>Special processing for OSPI P2 (eg: H17203.1REFRUN-fq1-tst) they add lotID+operation</t>
  </si>
  <si>
    <t>Exensio Hosted Field</t>
  </si>
  <si>
    <t>Data File Name</t>
  </si>
  <si>
    <t>DbMetaData("Subcon lot id", vvSubconLotId)</t>
  </si>
  <si>
    <t>DbMetaData("Tester Host Name", vTesterHostName)</t>
  </si>
  <si>
    <t>DbMetaData("Temperature", vTemperature)</t>
  </si>
  <si>
    <t>DbMetaData("Test Software", vFileName)</t>
  </si>
  <si>
    <t>DbMetaData("Test Floor", vTestFloor)</t>
  </si>
  <si>
    <t>DbMetaData("Tester Software Version", vTesterSoftwareVersion)</t>
  </si>
  <si>
    <t>DbMetaData("PDS File", vFileName)</t>
  </si>
  <si>
    <t>DbMetaData("PTI4/PAL", vPti4Pal)</t>
  </si>
  <si>
    <t>DbMetaData("Application Board", vApplicationBoard)</t>
  </si>
  <si>
    <t>DbMetaData("Area", vArea)</t>
  </si>
  <si>
    <t>DbMetaData("Performance Board", vPerformanceBoard)</t>
  </si>
  <si>
    <t>DbMetaData("Cable ID", vCableId)</t>
  </si>
  <si>
    <t>DbMetaData("DUT Board", vDutBoard)</t>
  </si>
  <si>
    <t>DbMetaData("Tester DLL", vTesterDll)</t>
  </si>
  <si>
    <t>DbMetaData("TesterDllVersion", vTesterDllVersion)</t>
  </si>
  <si>
    <t>DbMetaData("PDS File Version", vPdsFileVersion)</t>
  </si>
  <si>
    <t>DbMetaData("Load Board", vLoadBoard)</t>
  </si>
  <si>
    <t>DbMetaData("Load Board Type", vLoadBoardType)</t>
  </si>
  <si>
    <t>DbMetaData("EBR Number", vEbrNumber)</t>
  </si>
  <si>
    <t>DbMetaData("Mask / Mask Set", vMaskMaskSet)</t>
  </si>
  <si>
    <t>DbMetaData("Process Family", vProcessFamily)</t>
  </si>
  <si>
    <t>DbMetaData("Test Head", vTest Head)</t>
  </si>
  <si>
    <t>DbMetaData("Product Code", vProductCode)</t>
  </si>
  <si>
    <t>DbMetaData("Card Lens Module", vCardLensModule)</t>
  </si>
  <si>
    <t>DbMetaData("Subcon Product", vSubconProduct)</t>
  </si>
  <si>
    <t>DbMetaData("Altenate Lot", vAlternateLot)</t>
  </si>
  <si>
    <t>ApplicationBoard</t>
  </si>
  <si>
    <t>PerformanceBoard</t>
  </si>
  <si>
    <t>CableId</t>
  </si>
  <si>
    <t>TesterDll</t>
  </si>
  <si>
    <t>LoadBoard</t>
  </si>
  <si>
    <t>EbrNumber</t>
  </si>
  <si>
    <t>MaskSet</t>
  </si>
  <si>
    <t>ProcessFamily</t>
  </si>
  <si>
    <t>ProductCode</t>
  </si>
  <si>
    <t>SubconProduct</t>
  </si>
  <si>
    <t>DataFileName</t>
  </si>
  <si>
    <t>EndTime</t>
  </si>
  <si>
    <t>FairchildDevice</t>
  </si>
  <si>
    <t>TestHead</t>
  </si>
  <si>
    <t>Family</t>
  </si>
  <si>
    <t>Product</t>
  </si>
  <si>
    <t>MeasuringEquipment</t>
  </si>
  <si>
    <t>Metadata field</t>
  </si>
  <si>
    <t>PdsFile</t>
  </si>
  <si>
    <t>PdsFileVersion</t>
  </si>
  <si>
    <t>ProcessingStep</t>
  </si>
  <si>
    <t>ProgramGroup</t>
  </si>
  <si>
    <t>Pti4Pal</t>
  </si>
  <si>
    <t>RecipeRevision</t>
  </si>
  <si>
    <t>ScribeId</t>
  </si>
  <si>
    <t>SourceLot</t>
  </si>
  <si>
    <t>SubconLotId</t>
  </si>
  <si>
    <t>TesterDllVersion</t>
  </si>
  <si>
    <t>TesterHostName</t>
  </si>
  <si>
    <t>TesterSoftware</t>
  </si>
  <si>
    <t>TesterSoftwareRevision</t>
  </si>
  <si>
    <t>TestFloor</t>
  </si>
  <si>
    <t>TestMode</t>
  </si>
  <si>
    <t>WaferNumber</t>
  </si>
  <si>
    <t>STDF Attribute2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</si>
</sst>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6" xfId="0" applyFont="1" applyFill="1" applyBorder="1"/>
    <xf numFmtId="0" fontId="0" fillId="0" borderId="14" xfId="0" applyBorder="1"/>
    <xf numFmtId="0" fontId="0" fillId="0" borderId="0" xfId="0" applyBorder="1"/>
    <xf numFmtId="0" fontId="1" fillId="2" borderId="1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1" xfId="0" applyNumberFormat="1" applyBorder="1"/>
    <xf numFmtId="0" fontId="0" fillId="0" borderId="3" xfId="0" applyNumberFormat="1" applyBorder="1" applyAlignment="1">
      <alignment wrapText="1"/>
    </xf>
    <xf numFmtId="0" fontId="0" fillId="0" borderId="2" xfId="0" applyNumberFormat="1" applyBorder="1"/>
    <xf numFmtId="0" fontId="0" fillId="0" borderId="0" xfId="0" applyNumberFormat="1" applyBorder="1"/>
    <xf numFmtId="0" fontId="5" fillId="2" borderId="4" xfId="0" applyFont="1" applyFill="1" applyBorder="1"/>
    <xf numFmtId="0" fontId="3" fillId="5" borderId="10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1" fillId="4" borderId="7" xfId="0" applyFont="1" applyFill="1" applyBorder="1"/>
    <xf numFmtId="0" fontId="3" fillId="0" borderId="7" xfId="0" applyFont="1" applyBorder="1" applyAlignment="1">
      <alignment vertical="center"/>
    </xf>
    <xf numFmtId="0" fontId="0" fillId="0" borderId="3" xfId="0" applyNumberForma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0" fillId="6" borderId="5" xfId="0" applyFill="1" applyBorder="1"/>
    <xf numFmtId="0" fontId="0" fillId="4" borderId="1" xfId="0" applyNumberFormat="1" applyFont="1" applyFill="1" applyBorder="1"/>
    <xf numFmtId="0" fontId="0" fillId="4" borderId="3" xfId="0" applyNumberFormat="1" applyFont="1" applyFill="1" applyBorder="1" applyAlignment="1">
      <alignment wrapText="1"/>
    </xf>
    <xf numFmtId="0" fontId="0" fillId="6" borderId="1" xfId="0" applyFill="1" applyBorder="1"/>
    <xf numFmtId="0" fontId="0" fillId="0" borderId="1" xfId="0" applyFill="1" applyBorder="1"/>
  </cellXfs>
  <cellStyles count="1">
    <cellStyle name="Normal" xfId="0" builtinId="0"/>
  </cellStyles>
  <dxfs count="13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8DB3E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8DB3E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8DB3E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8DB3E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8DB3E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0" totalsRowShown="0" headerRowDxfId="134" headerRowBorderDxfId="133" tableBorderDxfId="132" totalsRowBorderDxfId="131">
  <autoFilter ref="A1:K60" xr:uid="{00000000-0009-0000-0100-000001000000}"/>
  <tableColumns count="11">
    <tableColumn id="1" xr3:uid="{00000000-0010-0000-0000-000001000000}" name="SXML Element" dataDxfId="130"/>
    <tableColumn id="2" xr3:uid="{00000000-0010-0000-0000-000002000000}" name="XML Attribute" dataDxfId="129"/>
    <tableColumn id="6" xr3:uid="{00000000-0010-0000-0000-000006000000}" name="Whole Name" dataDxfId="128">
      <calculatedColumnFormula>IF(NOT(ISBLANK(B2)),_xlfn.CONCAT(A2,"[",B2,"]"),"")</calculatedColumnFormula>
    </tableColumn>
    <tableColumn id="11" xr3:uid="{76FADBA7-1FCD-4EEA-9C38-965BB86E0412}" name="Metadata" dataDxfId="71">
      <calculatedColumnFormula>IF(VLOOKUP($C2, Mapping!$C$2:$L$181, 2, FALSE) = 0, "", VLOOKUP($C2, Mapping!$C$2:$L$181, 2, FALSE))</calculatedColumnFormula>
    </tableColumn>
    <tableColumn id="7" xr3:uid="{00000000-0010-0000-0000-000007000000}" name="STDF Attribute" dataDxfId="87">
      <calculatedColumnFormula>IF(VLOOKUP($C2, Mapping!$C$2:$L$181, 3, FALSE) = 0, "", VLOOKUP($C2, Mapping!$C$2:$L$181, 3, FALSE))</calculatedColumnFormula>
    </tableColumn>
    <tableColumn id="3" xr3:uid="{00000000-0010-0000-0000-000003000000}" name="Name in Yield Metadata Standardization" dataDxfId="86">
      <calculatedColumnFormula>IF(VLOOKUP($C2, Mapping!$C$2:$L$181, 4, FALSE) = 0, "", VLOOKUP($C2, Mapping!$C$2:$L$181, 4, FALSE))</calculatedColumnFormula>
    </tableColumn>
    <tableColumn id="4" xr3:uid="{00000000-0010-0000-0000-000004000000}" name="How to Populate" dataDxfId="85">
      <calculatedColumnFormula>IF(VLOOKUP($C2, Mapping!$C$2:$L$181, 6, FALSE) = 0, "", VLOOKUP($C2, Mapping!$C$2:$L$181, 6, FALSE))</calculatedColumnFormula>
    </tableColumn>
    <tableColumn id="10" xr3:uid="{00000000-0010-0000-0000-00000A000000}" name="Index Type" dataDxfId="84">
      <calculatedColumnFormula>IF(VLOOKUP($C2, Mapping!$C$2:$L$181, 7, FALSE) = 0, "", VLOOKUP($C2, Mapping!$C$2:$L$181, 7, FALSE))</calculatedColumnFormula>
    </tableColumn>
    <tableColumn id="9" xr3:uid="{00000000-0010-0000-0000-000009000000}" name="Key/non-key" dataDxfId="83">
      <calculatedColumnFormula>IF(VLOOKUP($C2, Mapping!$C$2:$L$181, 8, FALSE) = 0, "", VLOOKUP($C2, Mapping!$C$2:$L$181, 8, FALSE))</calculatedColumnFormula>
    </tableColumn>
    <tableColumn id="8" xr3:uid="{00000000-0010-0000-0000-000008000000}" name="Data Type" dataDxfId="82">
      <calculatedColumnFormula>IF(VLOOKUP($C2, Mapping!$C$2:$L$181, 9, FALSE) = 0, "", VLOOKUP($C2, Mapping!$C$2:$L$181, 9, FALSE))</calculatedColumnFormula>
    </tableColumn>
    <tableColumn id="5" xr3:uid="{00000000-0010-0000-0000-000005000000}" name="Comment" dataDxfId="81">
      <calculatedColumnFormula>IF(VLOOKUP($C2, Mapping!$C$2:$L$181, 10, FALSE) = 0, "", VLOOKUP($C2, Mapping!$C$2:$L$181, 10, FALSE))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5" displayName="Table15" ref="A1:K60" totalsRowShown="0" headerRowDxfId="127" headerRowBorderDxfId="126" tableBorderDxfId="125" totalsRowBorderDxfId="124">
  <autoFilter ref="A1:K60" xr:uid="{00000000-0009-0000-0100-000004000000}"/>
  <tableColumns count="11">
    <tableColumn id="1" xr3:uid="{00000000-0010-0000-0100-000001000000}" name="SXML Element" dataDxfId="123"/>
    <tableColumn id="2" xr3:uid="{00000000-0010-0000-0100-000002000000}" name="XML Attribute" dataDxfId="122"/>
    <tableColumn id="6" xr3:uid="{00000000-0010-0000-0100-000006000000}" name="Whole Name" dataDxfId="121">
      <calculatedColumnFormula>IF(NOT(ISBLANK(B2)),_xlfn.CONCAT(A2,"[",B2,"]"),"")</calculatedColumnFormula>
    </tableColumn>
    <tableColumn id="11" xr3:uid="{C8FCE150-221E-4483-9E33-C71E581F72E9}" name="Metadata" dataDxfId="80">
      <calculatedColumnFormula>IF(VLOOKUP($C2, Mapping!$C$2:$L$181, 2, FALSE) = 0, "", VLOOKUP($C2, Mapping!$C$2:$L$181, 2, FALSE))</calculatedColumnFormula>
    </tableColumn>
    <tableColumn id="7" xr3:uid="{00000000-0010-0000-0100-000007000000}" name="STDF Attribute2" dataDxfId="79">
      <calculatedColumnFormula>IF(VLOOKUP($C2, Mapping!$C$2:$L$181, 3, FALSE) = 0, "", VLOOKUP($C2, Mapping!$C$2:$L$181, 3, FALSE))</calculatedColumnFormula>
    </tableColumn>
    <tableColumn id="3" xr3:uid="{00000000-0010-0000-0100-000003000000}" name="Name in Yield Metadata Standardization" dataDxfId="78">
      <calculatedColumnFormula>IF(VLOOKUP($C2, Mapping!$C$2:$L$181, 4, FALSE) = 0, "", VLOOKUP($C2, Mapping!$C$2:$L$181, 4, FALSE))</calculatedColumnFormula>
    </tableColumn>
    <tableColumn id="4" xr3:uid="{00000000-0010-0000-0100-000004000000}" name="How to Populate" dataDxfId="77">
      <calculatedColumnFormula>IF(VLOOKUP($C2, Mapping!$C$2:$L$181, 6, FALSE) = 0, "", VLOOKUP($C2, Mapping!$C$2:$L$181, 6, FALSE))</calculatedColumnFormula>
    </tableColumn>
    <tableColumn id="10" xr3:uid="{00000000-0010-0000-0100-00000A000000}" name="Index Type" dataDxfId="76">
      <calculatedColumnFormula>IF(VLOOKUP($C2, Mapping!$C$2:$L$181, 7, FALSE) = 0, "", VLOOKUP($C2, Mapping!$C$2:$L$181, 7, FALSE))</calculatedColumnFormula>
    </tableColumn>
    <tableColumn id="9" xr3:uid="{00000000-0010-0000-0100-000009000000}" name="Key/non-key" dataDxfId="75">
      <calculatedColumnFormula>IF(VLOOKUP($C2, Mapping!$C$2:$L$181, 8, FALSE) = 0, "", VLOOKUP($C2, Mapping!$C$2:$L$181, 8, FALSE))</calculatedColumnFormula>
    </tableColumn>
    <tableColumn id="8" xr3:uid="{00000000-0010-0000-0100-000008000000}" name="Data Type" dataDxfId="74">
      <calculatedColumnFormula>IF(VLOOKUP($C2, Mapping!$C$2:$L$181, 9, FALSE) = 0, "", VLOOKUP($C2, Mapping!$C$2:$L$181, 9, FALSE))</calculatedColumnFormula>
    </tableColumn>
    <tableColumn id="5" xr3:uid="{00000000-0010-0000-0100-000005000000}" name="Comment" dataDxfId="73">
      <calculatedColumnFormula>IF(VLOOKUP($C2, Mapping!$C$2:$L$181, 10, FALSE) = 0, "", VLOOKUP($C2, Mapping!$C$2:$L$181, 10, FALSE))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11" displayName="Table111" ref="A1:K60" totalsRowShown="0" headerRowDxfId="120" headerRowBorderDxfId="119" tableBorderDxfId="118" totalsRowBorderDxfId="117">
  <autoFilter ref="A1:K60" xr:uid="{00000000-0009-0000-0100-00000A000000}"/>
  <tableColumns count="11">
    <tableColumn id="1" xr3:uid="{00000000-0010-0000-0200-000001000000}" name="SXML Element" dataDxfId="116"/>
    <tableColumn id="2" xr3:uid="{00000000-0010-0000-0200-000002000000}" name="XML Attribute" dataDxfId="115"/>
    <tableColumn id="6" xr3:uid="{00000000-0010-0000-0200-000006000000}" name="Whole Name" dataDxfId="114">
      <calculatedColumnFormula>IF(NOT(ISBLANK(B2)),_xlfn.CONCAT(A2,"[",B2,"]"),"")</calculatedColumnFormula>
    </tableColumn>
    <tableColumn id="11" xr3:uid="{810C09AF-3430-4702-B111-D3F7C97B1E3D}" name="Metadata" dataDxfId="72">
      <calculatedColumnFormula>IF(VLOOKUP($C2, Mapping!$C$2:$L$181, 2, FALSE) = 0, "", VLOOKUP($C2, Mapping!$C$2:$L$181, 2, FALSE))</calculatedColumnFormula>
    </tableColumn>
    <tableColumn id="7" xr3:uid="{00000000-0010-0000-0200-000007000000}" name="STDF Attribute" dataDxfId="70">
      <calculatedColumnFormula>IF(VLOOKUP($C2, Mapping!$C$2:$L$181, 3, FALSE) = 0, "", VLOOKUP($C2, Mapping!$C$2:$L$181, 3, FALSE))</calculatedColumnFormula>
    </tableColumn>
    <tableColumn id="3" xr3:uid="{00000000-0010-0000-0200-000003000000}" name="Name in Yield Metadata Standardization" dataDxfId="69">
      <calculatedColumnFormula>IF(VLOOKUP($C2, Mapping!$C$2:$L$181, 4, FALSE) = 0, "", VLOOKUP($C2, Mapping!$C$2:$L$181, 4, FALSE))</calculatedColumnFormula>
    </tableColumn>
    <tableColumn id="4" xr3:uid="{00000000-0010-0000-0200-000004000000}" name="How to Populate" dataDxfId="68">
      <calculatedColumnFormula>IF(VLOOKUP($C2, Mapping!$C$2:$L$181, 6, FALSE) = 0, "", VLOOKUP($C2, Mapping!$C$2:$L$181, 6, FALSE))</calculatedColumnFormula>
    </tableColumn>
    <tableColumn id="10" xr3:uid="{00000000-0010-0000-0200-00000A000000}" name="Index Type" dataDxfId="67">
      <calculatedColumnFormula>IF(VLOOKUP($C2, Mapping!$C$2:$L$181, 7, FALSE) = 0, "", VLOOKUP($C2, Mapping!$C$2:$L$181, 7, FALSE))</calculatedColumnFormula>
    </tableColumn>
    <tableColumn id="9" xr3:uid="{00000000-0010-0000-0200-000009000000}" name="Key/non-key" dataDxfId="66">
      <calculatedColumnFormula>IF(VLOOKUP($C2, Mapping!$C$2:$L$181, 8, FALSE) = 0, "", VLOOKUP($C2, Mapping!$C$2:$L$181, 8, FALSE))</calculatedColumnFormula>
    </tableColumn>
    <tableColumn id="8" xr3:uid="{00000000-0010-0000-0200-000008000000}" name="Data Type" dataDxfId="65">
      <calculatedColumnFormula>IF(VLOOKUP($C2, Mapping!$C$2:$L$181, 9, FALSE) = 0, "", VLOOKUP($C2, Mapping!$C$2:$L$181, 9, FALSE))</calculatedColumnFormula>
    </tableColumn>
    <tableColumn id="5" xr3:uid="{00000000-0010-0000-0200-000005000000}" name="Comment" dataDxfId="64">
      <calculatedColumnFormula>IF(VLOOKUP($C2, Mapping!$C$2:$L$181, 10, FALSE) = 0, "", VLOOKUP($C2, Mapping!$C$2:$L$181, 10, FALSE))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7" displayName="Table7" ref="A1:K44" totalsRowShown="0" headerRowDxfId="113" tableBorderDxfId="112">
  <autoFilter ref="A1:K44" xr:uid="{00000000-0009-0000-0100-000007000000}"/>
  <tableColumns count="11">
    <tableColumn id="1" xr3:uid="{00000000-0010-0000-0300-000001000000}" name="XML Section" dataDxfId="111"/>
    <tableColumn id="2" xr3:uid="{00000000-0010-0000-0300-000002000000}" name="XML Field" dataDxfId="110"/>
    <tableColumn id="3" xr3:uid="{00000000-0010-0000-0300-000003000000}" name="Whole Name" dataDxfId="109">
      <calculatedColumnFormula>IF(NOT(ISBLANK(B2)),_xlfn.CONCAT(A2,"[",B2,"]"),"")</calculatedColumnFormula>
    </tableColumn>
    <tableColumn id="11" xr3:uid="{03CB1BE2-2DE8-472F-AC01-DDEB253B5B0A}" name="Metadata" dataDxfId="63">
      <calculatedColumnFormula>IF(VLOOKUP($C2, Mapping!$C$2:$L$181, 2, FALSE) = 0, "", VLOOKUP($C2, Mapping!$C$2:$L$181, 2, FALSE))</calculatedColumnFormula>
    </tableColumn>
    <tableColumn id="4" xr3:uid="{00000000-0010-0000-0300-000004000000}" name="STDF Attribute" dataDxfId="62">
      <calculatedColumnFormula>IF(VLOOKUP($C2, Mapping!$C$2:$L$181, 3, FALSE) = 0, "", VLOOKUP($C2, Mapping!$C$2:$L$181, 3, FALSE))</calculatedColumnFormula>
    </tableColumn>
    <tableColumn id="10" xr3:uid="{4E2666E3-3D16-4D2B-AAFB-5295083E666C}" name="Name in Yield Metadata Standardization" dataDxfId="61">
      <calculatedColumnFormula>IF(VLOOKUP($C2, Mapping!$C$2:$L$181, 4, FALSE) = 0, "", VLOOKUP($C2, Mapping!$C$2:$L$181, 4, FALSE))</calculatedColumnFormula>
    </tableColumn>
    <tableColumn id="5" xr3:uid="{00000000-0010-0000-0300-000005000000}" name="How to Populate" dataDxfId="60">
      <calculatedColumnFormula>IF(VLOOKUP($C2, Mapping!$C$2:$L$181, 6, FALSE) = 0, "", VLOOKUP($C2, Mapping!$C$2:$L$181, 6, FALSE))</calculatedColumnFormula>
    </tableColumn>
    <tableColumn id="9" xr3:uid="{00000000-0010-0000-0300-000009000000}" name="Index Type" dataDxfId="59">
      <calculatedColumnFormula>IF(VLOOKUP($C2, Mapping!$C$2:$L$181, 7, FALSE) = 0, "", VLOOKUP($C2, Mapping!$C$2:$L$181, 7, FALSE))</calculatedColumnFormula>
    </tableColumn>
    <tableColumn id="8" xr3:uid="{00000000-0010-0000-0300-000008000000}" name="Key/non-key" dataDxfId="58">
      <calculatedColumnFormula>IF(VLOOKUP($C2, Mapping!$C$2:$L$181, 8, FALSE) = 0, "", VLOOKUP($C2, Mapping!$C$2:$L$181, 8, FALSE))</calculatedColumnFormula>
    </tableColumn>
    <tableColumn id="7" xr3:uid="{00000000-0010-0000-0300-000007000000}" name="Data Type" dataDxfId="57">
      <calculatedColumnFormula>IF(VLOOKUP($C2, Mapping!$C$2:$L$181, 9, FALSE) = 0, "", VLOOKUP($C2, Mapping!$C$2:$L$181, 9, FALSE))</calculatedColumnFormula>
    </tableColumn>
    <tableColumn id="6" xr3:uid="{00000000-0010-0000-0300-000006000000}" name="Comment" dataDxfId="56">
      <calculatedColumnFormula>IF(VLOOKUP($C2, Mapping!$C$2:$L$181, 10, FALSE) = 0, "", VLOOKUP($C2, Mapping!$C$2:$L$181, 10, FALSE))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H83" totalsRowShown="0">
  <autoFilter ref="A1:H83" xr:uid="{00000000-0009-0000-0100-000003000000}"/>
  <tableColumns count="8">
    <tableColumn id="1" xr3:uid="{00000000-0010-0000-0400-000001000000}" name="Field" dataDxfId="108"/>
    <tableColumn id="2" xr3:uid="{00000000-0010-0000-0400-000002000000}" name="Exensio Hosted Field" dataDxfId="107"/>
    <tableColumn id="3" xr3:uid="{00000000-0010-0000-0400-000003000000}" name="Type" dataDxfId="106">
      <calculatedColumnFormula>IFERROR(IF(INDEX(Mapping!$I$2:$I$181,MATCH($A2,Mapping!$F$2:$F$181,0)) = 0, "Metadata", INDEX(Mapping!$I$2:$I$181,MATCH($A2,Mapping!$F$2:$F$181,0))), "")</calculatedColumnFormula>
    </tableColumn>
    <tableColumn id="4" xr3:uid="{00000000-0010-0000-0400-000004000000}" name="How to populate" dataDxfId="105">
      <calculatedColumnFormula>IFERROR(IF(INDEX(Mapping!$H$2:$H$181,MATCH($A2,Mapping!$F$2:$F$181,0)) = 0, "", INDEX(Mapping!$H$2:$H$181,MATCH($A2,Mapping!$F$2:$F$181,0))), "")</calculatedColumnFormula>
    </tableColumn>
    <tableColumn id="5" xr3:uid="{00000000-0010-0000-0400-000005000000}" name="SXML Attribute" dataDxfId="104">
      <calculatedColumnFormula>IFERROR(IF(INDEX(Mapping!$C$2:$C$181,MATCH($A2,Mapping!$F$2:$F$181,0)) = 0, "", INDEX(Mapping!$C$2:$C$181,MATCH($A2,Mapping!$F$2:$F$181,0))), "")</calculatedColumnFormula>
    </tableColumn>
    <tableColumn id="8" xr3:uid="{08EA8F65-E6B6-4C67-87E5-A01D63806BA7}" name="Metadata" dataDxfId="0">
      <calculatedColumnFormula>IFERROR(IF(INDEX(Mapping!$D$2:$D$181,MATCH($A2,Mapping!$F$2:$F$181,0)) = 0, "", INDEX(Mapping!$D$2:$D$181,MATCH($A2,Mapping!$F$2:$F$181,0))), "")</calculatedColumnFormula>
    </tableColumn>
    <tableColumn id="6" xr3:uid="{00000000-0010-0000-0400-000006000000}" name="STDF Atrribute" dataDxfId="103">
      <calculatedColumnFormula>IFERROR(IF(INDEX(Mapping!$E$2:$E$181,MATCH($A2,Mapping!$F$2:$F$181,0)) = 0, "", INDEX(Mapping!$E$2:$E$181,MATCH($A2,Mapping!$F$2:$F$181,0))), "")</calculatedColumnFormula>
    </tableColumn>
    <tableColumn id="7" xr3:uid="{00000000-0010-0000-0400-000007000000}" name="Comment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L178" totalsRowShown="0" headerRowDxfId="101" tableBorderDxfId="100">
  <autoFilter ref="A1:L178" xr:uid="{00000000-0009-0000-0100-000002000000}"/>
  <tableColumns count="12">
    <tableColumn id="1" xr3:uid="{00000000-0010-0000-0500-000001000000}" name="SXML Element" dataDxfId="99"/>
    <tableColumn id="10" xr3:uid="{00000000-0010-0000-0500-00000A000000}" name="XML Attribute" dataDxfId="98"/>
    <tableColumn id="2" xr3:uid="{00000000-0010-0000-0500-000002000000}" name="Whole Name" dataDxfId="97">
      <calculatedColumnFormula>IF(NOT(ISBLANK(B2)),_xlfn.CONCAT(A2,"[",B2,"]"),"")</calculatedColumnFormula>
    </tableColumn>
    <tableColumn id="12" xr3:uid="{46C63A74-9957-4E9E-B278-D8959464DE24}" name="Metadata field" dataDxfId="88"/>
    <tableColumn id="11" xr3:uid="{00000000-0010-0000-0500-00000B000000}" name="STDF attribute" dataDxfId="96"/>
    <tableColumn id="3" xr3:uid="{00000000-0010-0000-0500-000003000000}" name="Name in Yield Metadata Standardization" dataDxfId="95"/>
    <tableColumn id="8" xr3:uid="{0BDD2A5D-B8DF-40AD-B2EB-D3716316193C}" name="Exensio Hosted Field" dataDxfId="94"/>
    <tableColumn id="4" xr3:uid="{00000000-0010-0000-0500-000004000000}" name="How to Populate" dataDxfId="93"/>
    <tableColumn id="7" xr3:uid="{00000000-0010-0000-0500-000007000000}" name="Field Type" dataDxfId="92"/>
    <tableColumn id="6" xr3:uid="{00000000-0010-0000-0500-000006000000}" name="Key/non-key" dataDxfId="91"/>
    <tableColumn id="9" xr3:uid="{00000000-0010-0000-0500-000009000000}" name="Data Type" dataDxfId="90"/>
    <tableColumn id="5" xr3:uid="{00000000-0010-0000-0500-000005000000}" name="Comment" dataDxfId="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60"/>
  <sheetViews>
    <sheetView zoomScaleNormal="100" workbookViewId="0">
      <selection activeCell="D3" sqref="D3"/>
    </sheetView>
  </sheetViews>
  <sheetFormatPr defaultRowHeight="15" x14ac:dyDescent="0.25"/>
  <cols>
    <col min="1" max="1" width="34" bestFit="1" customWidth="1"/>
    <col min="2" max="2" width="29.28515625" bestFit="1" customWidth="1"/>
    <col min="3" max="3" width="42.7109375" bestFit="1" customWidth="1"/>
    <col min="4" max="4" width="22.5703125" bestFit="1" customWidth="1"/>
    <col min="5" max="5" width="16.28515625" bestFit="1" customWidth="1"/>
    <col min="6" max="6" width="39.85546875" bestFit="1" customWidth="1"/>
    <col min="7" max="7" width="60.5703125" bestFit="1" customWidth="1"/>
    <col min="8" max="8" width="26.140625" bestFit="1" customWidth="1"/>
    <col min="9" max="9" width="21.140625" bestFit="1" customWidth="1"/>
    <col min="10" max="10" width="12" bestFit="1" customWidth="1"/>
    <col min="11" max="11" width="98.85546875" bestFit="1" customWidth="1"/>
  </cols>
  <sheetData>
    <row r="1" spans="1:12" x14ac:dyDescent="0.25">
      <c r="A1" s="17" t="s">
        <v>49</v>
      </c>
      <c r="B1" s="18" t="s">
        <v>50</v>
      </c>
      <c r="C1" s="18" t="s">
        <v>266</v>
      </c>
      <c r="D1" s="1" t="s">
        <v>68</v>
      </c>
      <c r="E1" s="18" t="s">
        <v>387</v>
      </c>
      <c r="F1" s="18" t="s">
        <v>151</v>
      </c>
      <c r="G1" s="18" t="s">
        <v>3</v>
      </c>
      <c r="H1" s="14" t="s">
        <v>277</v>
      </c>
      <c r="I1" s="14" t="s">
        <v>278</v>
      </c>
      <c r="J1" s="14" t="s">
        <v>322</v>
      </c>
      <c r="K1" s="19" t="s">
        <v>150</v>
      </c>
    </row>
    <row r="2" spans="1:12" x14ac:dyDescent="0.25">
      <c r="A2" s="11" t="s">
        <v>216</v>
      </c>
      <c r="B2" s="31" t="s">
        <v>4</v>
      </c>
      <c r="C2" s="1" t="str">
        <f t="shared" ref="C2:C34" si="0">IF(NOT(ISBLANK(B2)),_xlfn.CONCAT(A2,"[",B2,"]"),"")</f>
        <v>LotG/SourceLot/Lot[Fab]</v>
      </c>
      <c r="D2" s="1" t="str">
        <f>IF(VLOOKUP($C2, Mapping!$C$2:$L$181, 2, FALSE) = 0, "", VLOOKUP($C2, Mapping!$C$2:$L$181, 2, FALSE))</f>
        <v>Fab</v>
      </c>
      <c r="E2" s="1" t="str">
        <f>IF(VLOOKUP($C2, Mapping!$C$2:$L$181, 3, FALSE) = 0, "", VLOOKUP($C2, Mapping!$C$2:$L$181, 3, FALSE))</f>
        <v/>
      </c>
      <c r="F2" s="1" t="str">
        <f>IF(VLOOKUP($C2, Mapping!$C$2:$L$181, 4, FALSE) = 0, "", VLOOKUP($C2, Mapping!$C$2:$L$181, 4, FALSE))</f>
        <v>Source Fab</v>
      </c>
      <c r="G2" s="1" t="str">
        <f>IF(VLOOKUP($C2, Mapping!$C$2:$L$181, 6, FALSE) = 0, "", VLOOKUP($C2, Mapping!$C$2:$L$181, 6, FALSE))</f>
        <v>vDbFab</v>
      </c>
      <c r="H2" s="2" t="str">
        <f>IF(VLOOKUP($C2, Mapping!$C$2:$L$181, 7, FALSE) = 0, "", VLOOKUP($C2, Mapping!$C$2:$L$181, 7, FALSE))</f>
        <v/>
      </c>
      <c r="I2" s="2" t="str">
        <f>IF(VLOOKUP($C2, Mapping!$C$2:$L$181, 8, FALSE) = 0, "", VLOOKUP($C2, Mapping!$C$2:$L$181, 8, FALSE))</f>
        <v/>
      </c>
      <c r="J2" s="2" t="str">
        <f>IF(VLOOKUP($C2, Mapping!$C$2:$L$181, 9, FALSE) = 0, "", VLOOKUP($C2, Mapping!$C$2:$L$181, 9, FALSE))</f>
        <v/>
      </c>
      <c r="K2" s="2" t="str">
        <f>IF(VLOOKUP($C2, Mapping!$C$2:$L$181, 10, FALSE) = 0, "", VLOOKUP($C2, Mapping!$C$2:$L$181, 10, FALSE))</f>
        <v/>
      </c>
    </row>
    <row r="3" spans="1:12" x14ac:dyDescent="0.25">
      <c r="A3" s="11" t="s">
        <v>216</v>
      </c>
      <c r="B3" s="31" t="s">
        <v>147</v>
      </c>
      <c r="C3" s="1" t="str">
        <f t="shared" si="0"/>
        <v>LotG/SourceLot/Lot[LotClass]</v>
      </c>
      <c r="D3" s="1" t="str">
        <f>IF(VLOOKUP($C3, Mapping!$C$2:$L$181, 2, FALSE) = 0, "", VLOOKUP($C3, Mapping!$C$2:$L$181, 2, FALSE))</f>
        <v>LotClass</v>
      </c>
      <c r="E3" s="1" t="str">
        <f>IF(VLOOKUP($C3, Mapping!$C$2:$L$181, 3, FALSE) = 0, "", VLOOKUP($C3, Mapping!$C$2:$L$181, 3, FALSE))</f>
        <v/>
      </c>
      <c r="F3" s="1" t="str">
        <f>IF(VLOOKUP($C3, Mapping!$C$2:$L$181, 4, FALSE) = 0, "", VLOOKUP($C3, Mapping!$C$2:$L$181, 4, FALSE))</f>
        <v>Lot Class</v>
      </c>
      <c r="G3" s="1" t="str">
        <f>IF(VLOOKUP($C3, Mapping!$C$2:$L$181, 6, FALSE) = 0, "", VLOOKUP($C3, Mapping!$C$2:$L$181, 6, FALSE))</f>
        <v>vDbLotClass</v>
      </c>
      <c r="H3" s="2" t="str">
        <f>IF(VLOOKUP($C3, Mapping!$C$2:$L$181, 7, FALSE) = 0, "", VLOOKUP($C3, Mapping!$C$2:$L$181, 7, FALSE))</f>
        <v>lot class</v>
      </c>
      <c r="I3" s="2" t="str">
        <f>IF(VLOOKUP($C3, Mapping!$C$2:$L$181, 8, FALSE) = 0, "", VLOOKUP($C3, Mapping!$C$2:$L$181, 8, FALSE))</f>
        <v/>
      </c>
      <c r="J3" s="2" t="str">
        <f>IF(VLOOKUP($C3, Mapping!$C$2:$L$181, 9, FALSE) = 0, "", VLOOKUP($C3, Mapping!$C$2:$L$181, 9, FALSE))</f>
        <v>String</v>
      </c>
      <c r="K3" s="2" t="str">
        <f>IF(VLOOKUP($C3, Mapping!$C$2:$L$181, 10, FALSE) = 0, "", VLOOKUP($C3, Mapping!$C$2:$L$181, 10, FALSE))</f>
        <v>LotG or LTM; Type of lot Engineering/Production,…</v>
      </c>
    </row>
    <row r="4" spans="1:12" x14ac:dyDescent="0.25">
      <c r="A4" s="11" t="s">
        <v>216</v>
      </c>
      <c r="B4" s="31" t="s">
        <v>148</v>
      </c>
      <c r="C4" s="1" t="str">
        <f t="shared" si="0"/>
        <v>LotG/SourceLot/Lot[LotNumber]</v>
      </c>
      <c r="D4" s="1" t="str">
        <f>IF(VLOOKUP($C4, Mapping!$C$2:$L$181, 2, FALSE) = 0, "", VLOOKUP($C4, Mapping!$C$2:$L$181, 2, FALSE))</f>
        <v>SubconLotId</v>
      </c>
      <c r="E4" s="1" t="str">
        <f>IF(VLOOKUP($C4, Mapping!$C$2:$L$181, 3, FALSE) = 0, "", VLOOKUP($C4, Mapping!$C$2:$L$181, 3, FALSE))</f>
        <v/>
      </c>
      <c r="F4" s="1" t="str">
        <f>IF(VLOOKUP($C4, Mapping!$C$2:$L$181, 4, FALSE) = 0, "", VLOOKUP($C4, Mapping!$C$2:$L$181, 4, FALSE))</f>
        <v>Subcon lot id</v>
      </c>
      <c r="G4" s="1" t="str">
        <f>IF(VLOOKUP($C4, Mapping!$C$2:$L$181, 6, FALSE) = 0, "", VLOOKUP($C4, Mapping!$C$2:$L$181, 6, FALSE))</f>
        <v>DbMetaData("Subcon lot id", vvSubconLotId)</v>
      </c>
      <c r="H4" s="2" t="str">
        <f>IF(VLOOKUP($C4, Mapping!$C$2:$L$181, 7, FALSE) = 0, "", VLOOKUP($C4, Mapping!$C$2:$L$181, 7, FALSE))</f>
        <v>op_log linked index 26</v>
      </c>
      <c r="I4" s="2" t="str">
        <f>IF(VLOOKUP($C4, Mapping!$C$2:$L$181, 8, FALSE) = 0, "", VLOOKUP($C4, Mapping!$C$2:$L$181, 8, FALSE))</f>
        <v/>
      </c>
      <c r="J4" s="2" t="str">
        <f>IF(VLOOKUP($C4, Mapping!$C$2:$L$181, 9, FALSE) = 0, "", VLOOKUP($C4, Mapping!$C$2:$L$181, 9, FALSE))</f>
        <v/>
      </c>
      <c r="K4" s="2" t="str">
        <f>IF(VLOOKUP($C4, Mapping!$C$2:$L$181, 10, FALSE) = 0, "", VLOOKUP($C4, Mapping!$C$2:$L$181, 10, FALSE))</f>
        <v/>
      </c>
    </row>
    <row r="5" spans="1:12" x14ac:dyDescent="0.25">
      <c r="A5" s="11" t="s">
        <v>216</v>
      </c>
      <c r="B5" s="31" t="s">
        <v>154</v>
      </c>
      <c r="C5" s="1" t="str">
        <f t="shared" si="0"/>
        <v>LotG/SourceLot/Lot[WaferPart]</v>
      </c>
      <c r="D5" s="1" t="str">
        <f>IF(VLOOKUP($C5, Mapping!$C$2:$L$181, 2, FALSE) = 0, "", VLOOKUP($C5, Mapping!$C$2:$L$181, 2, FALSE))</f>
        <v>Product</v>
      </c>
      <c r="E5" s="1" t="str">
        <f>IF(VLOOKUP($C5, Mapping!$C$2:$L$181, 3, FALSE) = 0, "", VLOOKUP($C5, Mapping!$C$2:$L$181, 3, FALSE))</f>
        <v/>
      </c>
      <c r="F5" s="1" t="str">
        <f>IF(VLOOKUP($C5, Mapping!$C$2:$L$181, 4, FALSE) = 0, "", VLOOKUP($C5, Mapping!$C$2:$L$181, 4, FALSE))</f>
        <v>MES Product ID / Mfg part #</v>
      </c>
      <c r="G5" s="1" t="str">
        <f>IF(VLOOKUP($C5, Mapping!$C$2:$L$181, 6, FALSE) = 0, "", VLOOKUP($C5, Mapping!$C$2:$L$181, 6, FALSE))</f>
        <v>vDbProduct</v>
      </c>
      <c r="H5" s="2" t="str">
        <f>IF(VLOOKUP($C5, Mapping!$C$2:$L$181, 7, FALSE) = 0, "", VLOOKUP($C5, Mapping!$C$2:$L$181, 7, FALSE))</f>
        <v/>
      </c>
      <c r="I5" s="2" t="str">
        <f>IF(VLOOKUP($C5, Mapping!$C$2:$L$181, 8, FALSE) = 0, "", VLOOKUP($C5, Mapping!$C$2:$L$181, 8, FALSE))</f>
        <v/>
      </c>
      <c r="J5" s="2" t="str">
        <f>IF(VLOOKUP($C5, Mapping!$C$2:$L$181, 9, FALSE) = 0, "", VLOOKUP($C5, Mapping!$C$2:$L$181, 9, FALSE))</f>
        <v/>
      </c>
      <c r="K5" s="2" t="str">
        <f>IF(VLOOKUP($C5, Mapping!$C$2:$L$181, 10, FALSE) = 0, "", VLOOKUP($C5, Mapping!$C$2:$L$181, 10, FALSE))</f>
        <v/>
      </c>
    </row>
    <row r="6" spans="1:12" x14ac:dyDescent="0.25">
      <c r="A6" s="11" t="s">
        <v>216</v>
      </c>
      <c r="B6" s="31" t="s">
        <v>160</v>
      </c>
      <c r="C6" s="1" t="str">
        <f t="shared" si="0"/>
        <v>LotG/SourceLot/Lot[Bank]</v>
      </c>
      <c r="D6" s="1" t="str">
        <f>IF(VLOOKUP($C6, Mapping!$C$2:$L$181, 2, FALSE) = 0, "", VLOOKUP($C6, Mapping!$C$2:$L$181, 2, FALSE))</f>
        <v/>
      </c>
      <c r="E6" s="1" t="str">
        <f>IF(VLOOKUP($C6, Mapping!$C$2:$L$181, 3, FALSE) = 0, "", VLOOKUP($C6, Mapping!$C$2:$L$181, 3, FALSE))</f>
        <v/>
      </c>
      <c r="F6" s="1" t="str">
        <f>IF(VLOOKUP($C6, Mapping!$C$2:$L$181, 4, FALSE) = 0, "", VLOOKUP($C6, Mapping!$C$2:$L$181, 4, FALSE))</f>
        <v>Bank Lot</v>
      </c>
      <c r="G6" s="1" t="str">
        <f>IF(VLOOKUP($C6, Mapping!$C$2:$L$181, 6, FALSE) = 0, "", VLOOKUP($C6, Mapping!$C$2:$L$181, 6, FALSE))</f>
        <v/>
      </c>
      <c r="H6" s="2" t="str">
        <f>IF(VLOOKUP($C6, Mapping!$C$2:$L$181, 7, FALSE) = 0, "", VLOOKUP($C6, Mapping!$C$2:$L$181, 7, FALSE))</f>
        <v/>
      </c>
      <c r="I6" s="2" t="str">
        <f>IF(VLOOKUP($C6, Mapping!$C$2:$L$181, 8, FALSE) = 0, "", VLOOKUP($C6, Mapping!$C$2:$L$181, 8, FALSE))</f>
        <v/>
      </c>
      <c r="J6" s="2" t="str">
        <f>IF(VLOOKUP($C6, Mapping!$C$2:$L$181, 9, FALSE) = 0, "", VLOOKUP($C6, Mapping!$C$2:$L$181, 9, FALSE))</f>
        <v/>
      </c>
      <c r="K6" s="2" t="str">
        <f>IF(VLOOKUP($C6, Mapping!$C$2:$L$181, 10, FALSE) = 0, "", VLOOKUP($C6, Mapping!$C$2:$L$181, 10, FALSE))</f>
        <v/>
      </c>
    </row>
    <row r="7" spans="1:12" x14ac:dyDescent="0.25">
      <c r="A7" s="11" t="s">
        <v>25</v>
      </c>
      <c r="B7" s="31" t="s">
        <v>26</v>
      </c>
      <c r="C7" s="1" t="str">
        <f t="shared" si="0"/>
        <v>DataPort[TestFacility]</v>
      </c>
      <c r="D7" s="1" t="str">
        <f>IF(VLOOKUP($C7, Mapping!$C$2:$L$181, 2, FALSE) = 0, "", VLOOKUP($C7, Mapping!$C$2:$L$181, 2, FALSE))</f>
        <v>TestFacility</v>
      </c>
      <c r="E7" s="1" t="str">
        <f>IF(VLOOKUP($C7, Mapping!$C$2:$L$181, 3, FALSE) = 0, "", VLOOKUP($C7, Mapping!$C$2:$L$181, 3, FALSE))</f>
        <v/>
      </c>
      <c r="F7" s="1" t="str">
        <f>IF(VLOOKUP($C7, Mapping!$C$2:$L$181, 4, FALSE) = 0, "", VLOOKUP($C7, Mapping!$C$2:$L$181, 4, FALSE))</f>
        <v>Test Facility</v>
      </c>
      <c r="G7" s="1" t="str">
        <f>IF(VLOOKUP($C7, Mapping!$C$2:$L$181, 6, FALSE) = 0, "", VLOOKUP($C7, Mapping!$C$2:$L$181, 6, FALSE))</f>
        <v>vDbEquip6</v>
      </c>
      <c r="H7" s="2" t="str">
        <f>IF(VLOOKUP($C7, Mapping!$C$2:$L$181, 7, FALSE) = 0, "", VLOOKUP($C7, Mapping!$C$2:$L$181, 7, FALSE))</f>
        <v>Equip[6]</v>
      </c>
      <c r="I7" s="2" t="str">
        <f>IF(VLOOKUP($C7, Mapping!$C$2:$L$181, 8, FALSE) = 0, "", VLOOKUP($C7, Mapping!$C$2:$L$181, 8, FALSE))</f>
        <v/>
      </c>
      <c r="J7" s="2" t="str">
        <f>IF(VLOOKUP($C7, Mapping!$C$2:$L$181, 9, FALSE) = 0, "", VLOOKUP($C7, Mapping!$C$2:$L$181, 9, FALSE))</f>
        <v/>
      </c>
      <c r="K7" s="2" t="str">
        <f>IF(VLOOKUP($C7, Mapping!$C$2:$L$181, 10, FALSE) = 0, "", VLOOKUP($C7, Mapping!$C$2:$L$181, 10, FALSE))</f>
        <v/>
      </c>
      <c r="L7" s="5"/>
    </row>
    <row r="8" spans="1:12" x14ac:dyDescent="0.25">
      <c r="A8" s="11" t="s">
        <v>421</v>
      </c>
      <c r="B8" s="31" t="s">
        <v>23</v>
      </c>
      <c r="C8" s="1" t="str">
        <f t="shared" si="0"/>
        <v>File[FileName]</v>
      </c>
      <c r="D8" s="1" t="str">
        <f>IF(VLOOKUP($C8, Mapping!$C$2:$L$181, 2, FALSE) = 0, "", VLOOKUP($C8, Mapping!$C$2:$L$181, 2, FALSE))</f>
        <v>DataFileName</v>
      </c>
      <c r="E8" s="1" t="str">
        <f>IF(VLOOKUP($C8, Mapping!$C$2:$L$181, 3, FALSE) = 0, "", VLOOKUP($C8, Mapping!$C$2:$L$181, 3, FALSE))</f>
        <v/>
      </c>
      <c r="F8" s="1" t="str">
        <f>IF(VLOOKUP($C8, Mapping!$C$2:$L$181, 4, FALSE) = 0, "", VLOOKUP($C8, Mapping!$C$2:$L$181, 4, FALSE))</f>
        <v>Data File Name</v>
      </c>
      <c r="G8" s="1" t="str">
        <f>IF(VLOOKUP($C8, Mapping!$C$2:$L$181, 6, FALSE) = 0, "", VLOOKUP($C8, Mapping!$C$2:$L$181, 6, FALSE))</f>
        <v>DbMetaData("Data File Name", vFileName)</v>
      </c>
      <c r="H8" s="2" t="str">
        <f>IF(VLOOKUP($C8, Mapping!$C$2:$L$181, 7, FALSE) = 0, "", VLOOKUP($C8, Mapping!$C$2:$L$181, 7, FALSE))</f>
        <v>op_log linked index 3</v>
      </c>
      <c r="I8" s="2" t="str">
        <f>IF(VLOOKUP($C8, Mapping!$C$2:$L$181, 8, FALSE) = 0, "", VLOOKUP($C8, Mapping!$C$2:$L$181, 8, FALSE))</f>
        <v/>
      </c>
      <c r="J8" s="2" t="str">
        <f>IF(VLOOKUP($C8, Mapping!$C$2:$L$181, 9, FALSE) = 0, "", VLOOKUP($C8, Mapping!$C$2:$L$181, 9, FALSE))</f>
        <v/>
      </c>
      <c r="K8" s="2" t="str">
        <f>IF(VLOOKUP($C8, Mapping!$C$2:$L$181, 10, FALSE) = 0, "", VLOOKUP($C8, Mapping!$C$2:$L$181, 10, FALSE))</f>
        <v/>
      </c>
    </row>
    <row r="9" spans="1:12" x14ac:dyDescent="0.25">
      <c r="A9" s="11" t="s">
        <v>422</v>
      </c>
      <c r="B9" s="31" t="s">
        <v>20</v>
      </c>
      <c r="C9" s="1" t="str">
        <f t="shared" si="0"/>
        <v>File/Lot[FinishTime]</v>
      </c>
      <c r="D9" s="1" t="str">
        <f>IF(VLOOKUP($C9, Mapping!$C$2:$L$181, 2, FALSE) = 0, "", VLOOKUP($C9, Mapping!$C$2:$L$181, 2, FALSE))</f>
        <v>EndTime</v>
      </c>
      <c r="E9" s="1" t="str">
        <f>IF(VLOOKUP($C9, Mapping!$C$2:$L$181, 3, FALSE) = 0, "", VLOOKUP($C9, Mapping!$C$2:$L$181, 3, FALSE))</f>
        <v>MRR.FINISH_T</v>
      </c>
      <c r="F9" s="1" t="str">
        <f>IF(VLOOKUP($C9, Mapping!$C$2:$L$181, 4, FALSE) = 0, "", VLOOKUP($C9, Mapping!$C$2:$L$181, 4, FALSE))</f>
        <v>End Time</v>
      </c>
      <c r="G9" s="1" t="str">
        <f>IF(VLOOKUP($C9, Mapping!$C$2:$L$181, 6, FALSE) = 0, "", VLOOKUP($C9, Mapping!$C$2:$L$181, 6, FALSE))</f>
        <v>vDbEndTime</v>
      </c>
      <c r="H9" s="2" t="str">
        <f>IF(VLOOKUP($C9, Mapping!$C$2:$L$181, 7, FALSE) = 0, "", VLOOKUP($C9, Mapping!$C$2:$L$181, 7, FALSE))</f>
        <v/>
      </c>
      <c r="I9" s="2" t="str">
        <f>IF(VLOOKUP($C9, Mapping!$C$2:$L$181, 8, FALSE) = 0, "", VLOOKUP($C9, Mapping!$C$2:$L$181, 8, FALSE))</f>
        <v/>
      </c>
      <c r="J9" s="2" t="str">
        <f>IF(VLOOKUP($C9, Mapping!$C$2:$L$181, 9, FALSE) = 0, "", VLOOKUP($C9, Mapping!$C$2:$L$181, 9, FALSE))</f>
        <v/>
      </c>
      <c r="K9" s="2" t="str">
        <f>IF(VLOOKUP($C9, Mapping!$C$2:$L$181, 10, FALSE) = 0, "", VLOOKUP($C9, Mapping!$C$2:$L$181, 10, FALSE))</f>
        <v/>
      </c>
    </row>
    <row r="10" spans="1:12" x14ac:dyDescent="0.25">
      <c r="A10" s="11" t="s">
        <v>422</v>
      </c>
      <c r="B10" s="31" t="s">
        <v>22</v>
      </c>
      <c r="C10" s="1" t="str">
        <f t="shared" si="0"/>
        <v>File/Lot[JobName]</v>
      </c>
      <c r="D10" s="1" t="str">
        <f>IF(VLOOKUP($C10, Mapping!$C$2:$L$181, 2, FALSE) = 0, "", VLOOKUP($C10, Mapping!$C$2:$L$181, 2, FALSE))</f>
        <v>Recipe</v>
      </c>
      <c r="E10" s="1" t="str">
        <f>IF(VLOOKUP($C10, Mapping!$C$2:$L$181, 3, FALSE) = 0, "", VLOOKUP($C10, Mapping!$C$2:$L$181, 3, FALSE))</f>
        <v>MIR.JOB_NAM</v>
      </c>
      <c r="F10" s="1" t="str">
        <f>IF(VLOOKUP($C10, Mapping!$C$2:$L$181, 4, FALSE) = 0, "", VLOOKUP($C10, Mapping!$C$2:$L$181, 4, FALSE))</f>
        <v>Test Program Name</v>
      </c>
      <c r="G10" s="1" t="str">
        <f>IF(VLOOKUP($C10, Mapping!$C$2:$L$181, 6, FALSE) = 0, "", VLOOKUP($C10, Mapping!$C$2:$L$181, 6, FALSE))</f>
        <v>vDbRecipe</v>
      </c>
      <c r="H10" s="2" t="str">
        <f>IF(VLOOKUP($C10, Mapping!$C$2:$L$181, 7, FALSE) = 0, "", VLOOKUP($C10, Mapping!$C$2:$L$181, 7, FALSE))</f>
        <v/>
      </c>
      <c r="I10" s="2" t="str">
        <f>IF(VLOOKUP($C10, Mapping!$C$2:$L$181, 8, FALSE) = 0, "", VLOOKUP($C10, Mapping!$C$2:$L$181, 8, FALSE))</f>
        <v/>
      </c>
      <c r="J10" s="2" t="str">
        <f>IF(VLOOKUP($C10, Mapping!$C$2:$L$181, 9, FALSE) = 0, "", VLOOKUP($C10, Mapping!$C$2:$L$181, 9, FALSE))</f>
        <v/>
      </c>
      <c r="K10" s="2" t="str">
        <f>IF(VLOOKUP($C10, Mapping!$C$2:$L$181, 10, FALSE) = 0, "", VLOOKUP($C10, Mapping!$C$2:$L$181, 10, FALSE))</f>
        <v/>
      </c>
    </row>
    <row r="11" spans="1:12" x14ac:dyDescent="0.25">
      <c r="A11" s="11" t="s">
        <v>422</v>
      </c>
      <c r="B11" s="31" t="s">
        <v>17</v>
      </c>
      <c r="C11" s="1" t="str">
        <f t="shared" si="0"/>
        <v>File/Lot[JobRevision]</v>
      </c>
      <c r="D11" s="1" t="str">
        <f>IF(VLOOKUP($C11, Mapping!$C$2:$L$181, 2, FALSE) = 0, "", VLOOKUP($C11, Mapping!$C$2:$L$181, 2, FALSE))</f>
        <v>RecipeRevision</v>
      </c>
      <c r="E11" s="1" t="str">
        <f>IF(VLOOKUP($C11, Mapping!$C$2:$L$181, 3, FALSE) = 0, "", VLOOKUP($C11, Mapping!$C$2:$L$181, 3, FALSE))</f>
        <v>MIR.JOB_REV</v>
      </c>
      <c r="F11" s="1" t="str">
        <f>IF(VLOOKUP($C11, Mapping!$C$2:$L$181, 4, FALSE) = 0, "", VLOOKUP($C11, Mapping!$C$2:$L$181, 4, FALSE))</f>
        <v>Test Program Revision</v>
      </c>
      <c r="G11" s="1" t="str">
        <f>IF(VLOOKUP($C11, Mapping!$C$2:$L$181, 6, FALSE) = 0, "", VLOOKUP($C11, Mapping!$C$2:$L$181, 6, FALSE))</f>
        <v>vDbEquip5, vDbProgRev</v>
      </c>
      <c r="H11" s="2" t="str">
        <f>IF(VLOOKUP($C11, Mapping!$C$2:$L$181, 7, FALSE) = 0, "", VLOOKUP($C11, Mapping!$C$2:$L$181, 7, FALSE))</f>
        <v>Equip[5]</v>
      </c>
      <c r="I11" s="2" t="str">
        <f>IF(VLOOKUP($C11, Mapping!$C$2:$L$181, 8, FALSE) = 0, "", VLOOKUP($C11, Mapping!$C$2:$L$181, 8, FALSE))</f>
        <v/>
      </c>
      <c r="J11" s="2" t="str">
        <f>IF(VLOOKUP($C11, Mapping!$C$2:$L$181, 9, FALSE) = 0, "", VLOOKUP($C11, Mapping!$C$2:$L$181, 9, FALSE))</f>
        <v/>
      </c>
      <c r="K11" s="2" t="str">
        <f>IF(VLOOKUP($C11, Mapping!$C$2:$L$181, 10, FALSE) = 0, "", VLOOKUP($C11, Mapping!$C$2:$L$181, 10, FALSE))</f>
        <v/>
      </c>
    </row>
    <row r="12" spans="1:12" x14ac:dyDescent="0.25">
      <c r="A12" s="11" t="s">
        <v>422</v>
      </c>
      <c r="B12" s="31" t="s">
        <v>18</v>
      </c>
      <c r="C12" s="1" t="str">
        <f t="shared" si="0"/>
        <v>File/Lot[LotId]</v>
      </c>
      <c r="D12" s="1" t="str">
        <f>IF(VLOOKUP($C12, Mapping!$C$2:$L$181, 2, FALSE) = 0, "", VLOOKUP($C12, Mapping!$C$2:$L$181, 2, FALSE))</f>
        <v>LotId</v>
      </c>
      <c r="E12" s="1" t="str">
        <f>IF(VLOOKUP($C12, Mapping!$C$2:$L$181, 3, FALSE) = 0, "", VLOOKUP($C12, Mapping!$C$2:$L$181, 3, FALSE))</f>
        <v>MIR.LOT_ID</v>
      </c>
      <c r="F12" s="1" t="str">
        <f>IF(VLOOKUP($C12, Mapping!$C$2:$L$181, 4, FALSE) = 0, "", VLOOKUP($C12, Mapping!$C$2:$L$181, 4, FALSE))</f>
        <v>Lot ID</v>
      </c>
      <c r="G12" s="1" t="str">
        <f>IF(VLOOKUP($C12, Mapping!$C$2:$L$181, 6, FALSE) = 0, "", VLOOKUP($C12, Mapping!$C$2:$L$181, 6, FALSE))</f>
        <v>vDbLot</v>
      </c>
      <c r="H12" s="2" t="str">
        <f>IF(VLOOKUP($C12, Mapping!$C$2:$L$181, 7, FALSE) = 0, "", VLOOKUP($C12, Mapping!$C$2:$L$181, 7, FALSE))</f>
        <v/>
      </c>
      <c r="I12" s="2" t="str">
        <f>IF(VLOOKUP($C12, Mapping!$C$2:$L$181, 8, FALSE) = 0, "", VLOOKUP($C12, Mapping!$C$2:$L$181, 8, FALSE))</f>
        <v/>
      </c>
      <c r="J12" s="2" t="str">
        <f>IF(VLOOKUP($C12, Mapping!$C$2:$L$181, 9, FALSE) = 0, "", VLOOKUP($C12, Mapping!$C$2:$L$181, 9, FALSE))</f>
        <v/>
      </c>
      <c r="K12" s="2" t="str">
        <f>IF(VLOOKUP($C12, Mapping!$C$2:$L$181, 10, FALSE) = 0, "", VLOOKUP($C12, Mapping!$C$2:$L$181, 10, FALSE))</f>
        <v/>
      </c>
    </row>
    <row r="13" spans="1:12" x14ac:dyDescent="0.25">
      <c r="A13" s="11" t="s">
        <v>422</v>
      </c>
      <c r="B13" s="31" t="s">
        <v>342</v>
      </c>
      <c r="C13" s="1" t="str">
        <f t="shared" si="0"/>
        <v>File/Lot[ModeCode]</v>
      </c>
      <c r="D13" s="1" t="str">
        <f>IF(VLOOKUP($C13, Mapping!$C$2:$L$181, 2, FALSE) = 0, "", VLOOKUP($C13, Mapping!$C$2:$L$181, 2, FALSE))</f>
        <v/>
      </c>
      <c r="E13" s="1" t="str">
        <f>IF(VLOOKUP($C13, Mapping!$C$2:$L$181, 3, FALSE) = 0, "", VLOOKUP($C13, Mapping!$C$2:$L$181, 3, FALSE))</f>
        <v>MIR.MODE_COD</v>
      </c>
      <c r="F13" s="1" t="str">
        <f>IF(VLOOKUP($C13, Mapping!$C$2:$L$181, 4, FALSE) = 0, "", VLOOKUP($C13, Mapping!$C$2:$L$181, 4, FALSE))</f>
        <v/>
      </c>
      <c r="G13" s="1" t="str">
        <f>IF(VLOOKUP($C13, Mapping!$C$2:$L$181, 6, FALSE) = 0, "", VLOOKUP($C13, Mapping!$C$2:$L$181, 6, FALSE))</f>
        <v/>
      </c>
      <c r="H13" s="2" t="str">
        <f>IF(VLOOKUP($C13, Mapping!$C$2:$L$181, 7, FALSE) = 0, "", VLOOKUP($C13, Mapping!$C$2:$L$181, 7, FALSE))</f>
        <v/>
      </c>
      <c r="I13" s="2" t="str">
        <f>IF(VLOOKUP($C13, Mapping!$C$2:$L$181, 8, FALSE) = 0, "", VLOOKUP($C13, Mapping!$C$2:$L$181, 8, FALSE))</f>
        <v/>
      </c>
      <c r="J13" s="2" t="str">
        <f>IF(VLOOKUP($C13, Mapping!$C$2:$L$181, 9, FALSE) = 0, "", VLOOKUP($C13, Mapping!$C$2:$L$181, 9, FALSE))</f>
        <v/>
      </c>
      <c r="K13" s="2" t="str">
        <f>IF(VLOOKUP($C13, Mapping!$C$2:$L$181, 10, FALSE) = 0, "", VLOOKUP($C13, Mapping!$C$2:$L$181, 10, FALSE))</f>
        <v/>
      </c>
    </row>
    <row r="14" spans="1:12" x14ac:dyDescent="0.25">
      <c r="A14" s="11" t="s">
        <v>422</v>
      </c>
      <c r="B14" s="31" t="s">
        <v>21</v>
      </c>
      <c r="C14" s="1" t="str">
        <f t="shared" si="0"/>
        <v>File/Lot[NodeName]</v>
      </c>
      <c r="D14" s="1" t="str">
        <f>IF(VLOOKUP($C14, Mapping!$C$2:$L$181, 2, FALSE) = 0, "", VLOOKUP($C14, Mapping!$C$2:$L$181, 2, FALSE))</f>
        <v>TesterHostName</v>
      </c>
      <c r="E14" s="1" t="str">
        <f>IF(VLOOKUP($C14, Mapping!$C$2:$L$181, 3, FALSE) = 0, "", VLOOKUP($C14, Mapping!$C$2:$L$181, 3, FALSE))</f>
        <v>MIR.NODE_NAM</v>
      </c>
      <c r="F14" s="1" t="str">
        <f>IF(VLOOKUP($C14, Mapping!$C$2:$L$181, 4, FALSE) = 0, "", VLOOKUP($C14, Mapping!$C$2:$L$181, 4, FALSE))</f>
        <v>Tester Host Name</v>
      </c>
      <c r="G14" s="1" t="str">
        <f>IF(VLOOKUP($C14, Mapping!$C$2:$L$181, 6, FALSE) = 0, "", VLOOKUP($C14, Mapping!$C$2:$L$181, 6, FALSE))</f>
        <v>DbMetaData("Tester Host Name", vTesterHostName)</v>
      </c>
      <c r="H14" s="2" t="str">
        <f>IF(VLOOKUP($C14, Mapping!$C$2:$L$181, 7, FALSE) = 0, "", VLOOKUP($C14, Mapping!$C$2:$L$181, 7, FALSE))</f>
        <v>op_log linked index 6</v>
      </c>
      <c r="I14" s="2" t="str">
        <f>IF(VLOOKUP($C14, Mapping!$C$2:$L$181, 8, FALSE) = 0, "", VLOOKUP($C14, Mapping!$C$2:$L$181, 8, FALSE))</f>
        <v/>
      </c>
      <c r="J14" s="2" t="str">
        <f>IF(VLOOKUP($C14, Mapping!$C$2:$L$181, 9, FALSE) = 0, "", VLOOKUP($C14, Mapping!$C$2:$L$181, 9, FALSE))</f>
        <v/>
      </c>
      <c r="K14" s="2" t="str">
        <f>IF(VLOOKUP($C14, Mapping!$C$2:$L$181, 10, FALSE) = 0, "", VLOOKUP($C14, Mapping!$C$2:$L$181, 10, FALSE))</f>
        <v/>
      </c>
    </row>
    <row r="15" spans="1:12" x14ac:dyDescent="0.25">
      <c r="A15" s="11" t="s">
        <v>422</v>
      </c>
      <c r="B15" s="31" t="s">
        <v>14</v>
      </c>
      <c r="C15" s="1" t="str">
        <f t="shared" si="0"/>
        <v>File/Lot[OperatorName]</v>
      </c>
      <c r="D15" s="1" t="str">
        <f>IF(VLOOKUP($C15, Mapping!$C$2:$L$181, 2, FALSE) = 0, "", VLOOKUP($C15, Mapping!$C$2:$L$181, 2, FALSE))</f>
        <v>Operator</v>
      </c>
      <c r="E15" s="1" t="str">
        <f>IF(VLOOKUP($C15, Mapping!$C$2:$L$181, 3, FALSE) = 0, "", VLOOKUP($C15, Mapping!$C$2:$L$181, 3, FALSE))</f>
        <v>MIR.OPER_NAM</v>
      </c>
      <c r="F15" s="1" t="str">
        <f>IF(VLOOKUP($C15, Mapping!$C$2:$L$181, 4, FALSE) = 0, "", VLOOKUP($C15, Mapping!$C$2:$L$181, 4, FALSE))</f>
        <v>Operator ID</v>
      </c>
      <c r="G15" s="1" t="str">
        <f>IF(VLOOKUP($C15, Mapping!$C$2:$L$181, 6, FALSE) = 0, "", VLOOKUP($C15, Mapping!$C$2:$L$181, 6, FALSE))</f>
        <v>vDbOperator</v>
      </c>
      <c r="H15" s="2" t="str">
        <f>IF(VLOOKUP($C15, Mapping!$C$2:$L$181, 7, FALSE) = 0, "", VLOOKUP($C15, Mapping!$C$2:$L$181, 7, FALSE))</f>
        <v/>
      </c>
      <c r="I15" s="2" t="str">
        <f>IF(VLOOKUP($C15, Mapping!$C$2:$L$181, 8, FALSE) = 0, "", VLOOKUP($C15, Mapping!$C$2:$L$181, 8, FALSE))</f>
        <v/>
      </c>
      <c r="J15" s="2" t="str">
        <f>IF(VLOOKUP($C15, Mapping!$C$2:$L$181, 9, FALSE) = 0, "", VLOOKUP($C15, Mapping!$C$2:$L$181, 9, FALSE))</f>
        <v/>
      </c>
      <c r="K15" s="2" t="str">
        <f>IF(VLOOKUP($C15, Mapping!$C$2:$L$181, 10, FALSE) = 0, "", VLOOKUP($C15, Mapping!$C$2:$L$181, 10, FALSE))</f>
        <v/>
      </c>
    </row>
    <row r="16" spans="1:12" x14ac:dyDescent="0.25">
      <c r="A16" s="11" t="s">
        <v>422</v>
      </c>
      <c r="B16" s="31" t="s">
        <v>27</v>
      </c>
      <c r="C16" s="1" t="str">
        <f t="shared" si="0"/>
        <v>File/Lot[SublotId]</v>
      </c>
      <c r="D16" s="1" t="str">
        <f>IF(VLOOKUP($C16, Mapping!$C$2:$L$181, 2, FALSE) = 0, "", VLOOKUP($C16, Mapping!$C$2:$L$181, 2, FALSE))</f>
        <v>SourceLot</v>
      </c>
      <c r="E16" s="1" t="str">
        <f>IF(VLOOKUP($C16, Mapping!$C$2:$L$181, 3, FALSE) = 0, "", VLOOKUP($C16, Mapping!$C$2:$L$181, 3, FALSE))</f>
        <v>MIR.SBLOT_ID</v>
      </c>
      <c r="F16" s="1" t="str">
        <f>IF(VLOOKUP($C16, Mapping!$C$2:$L$181, 4, FALSE) = 0, "", VLOOKUP($C16, Mapping!$C$2:$L$181, 4, FALSE))</f>
        <v>Source Lot</v>
      </c>
      <c r="G16" s="1" t="str">
        <f>IF(VLOOKUP($C16, Mapping!$C$2:$L$181, 6, FALSE) = 0, "", VLOOKUP($C16, Mapping!$C$2:$L$181, 6, FALSE))</f>
        <v>vDbSrcLot</v>
      </c>
      <c r="H16" s="2" t="str">
        <f>IF(VLOOKUP($C16, Mapping!$C$2:$L$181, 7, FALSE) = 0, "", VLOOKUP($C16, Mapping!$C$2:$L$181, 7, FALSE))</f>
        <v/>
      </c>
      <c r="I16" s="2" t="str">
        <f>IF(VLOOKUP($C16, Mapping!$C$2:$L$181, 8, FALSE) = 0, "", VLOOKUP($C16, Mapping!$C$2:$L$181, 8, FALSE))</f>
        <v/>
      </c>
      <c r="J16" s="2" t="str">
        <f>IF(VLOOKUP($C16, Mapping!$C$2:$L$181, 9, FALSE) = 0, "", VLOOKUP($C16, Mapping!$C$2:$L$181, 9, FALSE))</f>
        <v/>
      </c>
      <c r="K16" s="2" t="str">
        <f>IF(VLOOKUP($C16, Mapping!$C$2:$L$181, 10, FALSE) = 0, "", VLOOKUP($C16, Mapping!$C$2:$L$181, 10, FALSE))</f>
        <v>If not ends ".S", ".S" is being added behind the "."</v>
      </c>
    </row>
    <row r="17" spans="1:11" x14ac:dyDescent="0.25">
      <c r="A17" s="11" t="s">
        <v>422</v>
      </c>
      <c r="B17" s="31" t="s">
        <v>19</v>
      </c>
      <c r="C17" s="1" t="str">
        <f t="shared" si="0"/>
        <v>File/Lot[StartTime]</v>
      </c>
      <c r="D17" s="1" t="str">
        <f>IF(VLOOKUP($C17, Mapping!$C$2:$L$181, 2, FALSE) = 0, "", VLOOKUP($C17, Mapping!$C$2:$L$181, 2, FALSE))</f>
        <v>StartTime</v>
      </c>
      <c r="E17" s="1" t="str">
        <f>IF(VLOOKUP($C17, Mapping!$C$2:$L$181, 3, FALSE) = 0, "", VLOOKUP($C17, Mapping!$C$2:$L$181, 3, FALSE))</f>
        <v>MIR.START_T</v>
      </c>
      <c r="F17" s="1" t="str">
        <f>IF(VLOOKUP($C17, Mapping!$C$2:$L$181, 4, FALSE) = 0, "", VLOOKUP($C17, Mapping!$C$2:$L$181, 4, FALSE))</f>
        <v>Start Time</v>
      </c>
      <c r="G17" s="1" t="str">
        <f>IF(VLOOKUP($C17, Mapping!$C$2:$L$181, 6, FALSE) = 0, "", VLOOKUP($C17, Mapping!$C$2:$L$181, 6, FALSE))</f>
        <v>vDbStartTime</v>
      </c>
      <c r="H17" s="2" t="str">
        <f>IF(VLOOKUP($C17, Mapping!$C$2:$L$181, 7, FALSE) = 0, "", VLOOKUP($C17, Mapping!$C$2:$L$181, 7, FALSE))</f>
        <v/>
      </c>
      <c r="I17" s="2" t="str">
        <f>IF(VLOOKUP($C17, Mapping!$C$2:$L$181, 8, FALSE) = 0, "", VLOOKUP($C17, Mapping!$C$2:$L$181, 8, FALSE))</f>
        <v/>
      </c>
      <c r="J17" s="2" t="str">
        <f>IF(VLOOKUP($C17, Mapping!$C$2:$L$181, 9, FALSE) = 0, "", VLOOKUP($C17, Mapping!$C$2:$L$181, 9, FALSE))</f>
        <v/>
      </c>
      <c r="K17" s="2" t="str">
        <f>IF(VLOOKUP($C17, Mapping!$C$2:$L$181, 10, FALSE) = 0, "", VLOOKUP($C17, Mapping!$C$2:$L$181, 10, FALSE))</f>
        <v/>
      </c>
    </row>
    <row r="18" spans="1:11" x14ac:dyDescent="0.25">
      <c r="A18" s="11" t="s">
        <v>422</v>
      </c>
      <c r="B18" s="31" t="s">
        <v>28</v>
      </c>
      <c r="C18" s="1" t="str">
        <f t="shared" si="0"/>
        <v>File/Lot[TestTemperature]</v>
      </c>
      <c r="D18" s="1" t="str">
        <f>IF(VLOOKUP($C18, Mapping!$C$2:$L$181, 2, FALSE) = 0, "", VLOOKUP($C18, Mapping!$C$2:$L$181, 2, FALSE))</f>
        <v>Temperature</v>
      </c>
      <c r="E18" s="1" t="str">
        <f>IF(VLOOKUP($C18, Mapping!$C$2:$L$181, 3, FALSE) = 0, "", VLOOKUP($C18, Mapping!$C$2:$L$181, 3, FALSE))</f>
        <v>MIR.TST_TEMP</v>
      </c>
      <c r="F18" s="1" t="str">
        <f>IF(VLOOKUP($C18, Mapping!$C$2:$L$181, 4, FALSE) = 0, "", VLOOKUP($C18, Mapping!$C$2:$L$181, 4, FALSE))</f>
        <v>Temperature</v>
      </c>
      <c r="G18" s="1" t="str">
        <f>IF(VLOOKUP($C18, Mapping!$C$2:$L$181, 6, FALSE) = 0, "", VLOOKUP($C18, Mapping!$C$2:$L$181, 6, FALSE))</f>
        <v>DbMetaData("Temperature", vTemperature)</v>
      </c>
      <c r="H18" s="2" t="str">
        <f>IF(VLOOKUP($C18, Mapping!$C$2:$L$181, 7, FALSE) = 0, "", VLOOKUP($C18, Mapping!$C$2:$L$181, 7, FALSE))</f>
        <v>op_log linked index 5</v>
      </c>
      <c r="I18" s="2" t="str">
        <f>IF(VLOOKUP($C18, Mapping!$C$2:$L$181, 8, FALSE) = 0, "", VLOOKUP($C18, Mapping!$C$2:$L$181, 8, FALSE))</f>
        <v/>
      </c>
      <c r="J18" s="2" t="str">
        <f>IF(VLOOKUP($C18, Mapping!$C$2:$L$181, 9, FALSE) = 0, "", VLOOKUP($C18, Mapping!$C$2:$L$181, 9, FALSE))</f>
        <v/>
      </c>
      <c r="K18" s="2" t="str">
        <f>IF(VLOOKUP($C18, Mapping!$C$2:$L$181, 10, FALSE) = 0, "", VLOOKUP($C18, Mapping!$C$2:$L$181, 10, FALSE))</f>
        <v/>
      </c>
    </row>
    <row r="19" spans="1:11" x14ac:dyDescent="0.25">
      <c r="A19" s="11" t="s">
        <v>422</v>
      </c>
      <c r="B19" s="31" t="s">
        <v>11</v>
      </c>
      <c r="C19" s="1" t="str">
        <f t="shared" si="0"/>
        <v>File/Lot[TesterType]</v>
      </c>
      <c r="D19" s="1" t="str">
        <f>IF(VLOOKUP($C19, Mapping!$C$2:$L$181, 2, FALSE) = 0, "", VLOOKUP($C19, Mapping!$C$2:$L$181, 2, FALSE))</f>
        <v>TesterType</v>
      </c>
      <c r="E19" s="1" t="str">
        <f>IF(VLOOKUP($C19, Mapping!$C$2:$L$181, 3, FALSE) = 0, "", VLOOKUP($C19, Mapping!$C$2:$L$181, 3, FALSE))</f>
        <v>MIR.TSTR_TYP</v>
      </c>
      <c r="F19" s="1" t="str">
        <f>IF(VLOOKUP($C19, Mapping!$C$2:$L$181, 4, FALSE) = 0, "", VLOOKUP($C19, Mapping!$C$2:$L$181, 4, FALSE))</f>
        <v>Tester Type/Model</v>
      </c>
      <c r="G19" s="1" t="str">
        <f>IF(VLOOKUP($C19, Mapping!$C$2:$L$181, 6, FALSE) = 0, "", VLOOKUP($C19, Mapping!$C$2:$L$181, 6, FALSE))</f>
        <v/>
      </c>
      <c r="H19" s="2" t="str">
        <f>IF(VLOOKUP($C19, Mapping!$C$2:$L$181, 7, FALSE) = 0, "", VLOOKUP($C19, Mapping!$C$2:$L$181, 7, FALSE))</f>
        <v>Equip[1] Type</v>
      </c>
      <c r="I19" s="2" t="str">
        <f>IF(VLOOKUP($C19, Mapping!$C$2:$L$181, 8, FALSE) = 0, "", VLOOKUP($C19, Mapping!$C$2:$L$181, 8, FALSE))</f>
        <v/>
      </c>
      <c r="J19" s="2" t="str">
        <f>IF(VLOOKUP($C19, Mapping!$C$2:$L$181, 9, FALSE) = 0, "", VLOOKUP($C19, Mapping!$C$2:$L$181, 9, FALSE))</f>
        <v/>
      </c>
      <c r="K19" s="2" t="str">
        <f>IF(VLOOKUP($C19, Mapping!$C$2:$L$181, 10, FALSE) = 0, "", VLOOKUP($C19, Mapping!$C$2:$L$181, 10, FALSE))</f>
        <v/>
      </c>
    </row>
    <row r="20" spans="1:11" x14ac:dyDescent="0.25">
      <c r="A20" s="11" t="s">
        <v>422</v>
      </c>
      <c r="B20" s="31" t="s">
        <v>55</v>
      </c>
      <c r="C20" s="1" t="str">
        <f t="shared" si="0"/>
        <v>File/Lot[FloorId]</v>
      </c>
      <c r="D20" s="1" t="str">
        <f>IF(VLOOKUP($C20, Mapping!$C$2:$L$181, 2, FALSE) = 0, "", VLOOKUP($C20, Mapping!$C$2:$L$181, 2, FALSE))</f>
        <v>TestFloor</v>
      </c>
      <c r="E20" s="1" t="str">
        <f>IF(VLOOKUP($C20, Mapping!$C$2:$L$181, 3, FALSE) = 0, "", VLOOKUP($C20, Mapping!$C$2:$L$181, 3, FALSE))</f>
        <v>MIR.FLOOR_ID</v>
      </c>
      <c r="F20" s="1" t="str">
        <f>IF(VLOOKUP($C20, Mapping!$C$2:$L$181, 4, FALSE) = 0, "", VLOOKUP($C20, Mapping!$C$2:$L$181, 4, FALSE))</f>
        <v>Test Floor</v>
      </c>
      <c r="G20" s="1" t="str">
        <f>IF(VLOOKUP($C20, Mapping!$C$2:$L$181, 6, FALSE) = 0, "", VLOOKUP($C20, Mapping!$C$2:$L$181, 6, FALSE))</f>
        <v>DbMetaData("Test Floor", vTestFloor)</v>
      </c>
      <c r="H20" s="2" t="str">
        <f>IF(VLOOKUP($C20, Mapping!$C$2:$L$181, 7, FALSE) = 0, "", VLOOKUP($C20, Mapping!$C$2:$L$181, 7, FALSE))</f>
        <v>op_log linked index 2</v>
      </c>
      <c r="I20" s="2" t="str">
        <f>IF(VLOOKUP($C20, Mapping!$C$2:$L$181, 8, FALSE) = 0, "", VLOOKUP($C20, Mapping!$C$2:$L$181, 8, FALSE))</f>
        <v/>
      </c>
      <c r="J20" s="2" t="str">
        <f>IF(VLOOKUP($C20, Mapping!$C$2:$L$181, 9, FALSE) = 0, "", VLOOKUP($C20, Mapping!$C$2:$L$181, 9, FALSE))</f>
        <v/>
      </c>
      <c r="K20" s="2" t="str">
        <f>IF(VLOOKUP($C20, Mapping!$C$2:$L$181, 10, FALSE) = 0, "", VLOOKUP($C20, Mapping!$C$2:$L$181, 10, FALSE))</f>
        <v/>
      </c>
    </row>
    <row r="21" spans="1:11" x14ac:dyDescent="0.25">
      <c r="A21" s="11" t="s">
        <v>422</v>
      </c>
      <c r="B21" s="31" t="s">
        <v>56</v>
      </c>
      <c r="C21" s="1" t="str">
        <f t="shared" si="0"/>
        <v>File/Lot[ExecType]</v>
      </c>
      <c r="D21" s="1" t="str">
        <f>IF(VLOOKUP($C21, Mapping!$C$2:$L$181, 2, FALSE) = 0, "", VLOOKUP($C21, Mapping!$C$2:$L$181, 2, FALSE))</f>
        <v>TesterSoftware</v>
      </c>
      <c r="E21" s="1" t="str">
        <f>IF(VLOOKUP($C21, Mapping!$C$2:$L$181, 3, FALSE) = 0, "", VLOOKUP($C21, Mapping!$C$2:$L$181, 3, FALSE))</f>
        <v>MIR.EXEC_TYP</v>
      </c>
      <c r="F21" s="1" t="str">
        <f>IF(VLOOKUP($C21, Mapping!$C$2:$L$181, 4, FALSE) = 0, "", VLOOKUP($C21, Mapping!$C$2:$L$181, 4, FALSE))</f>
        <v>Tester Software</v>
      </c>
      <c r="G21" s="1" t="str">
        <f>IF(VLOOKUP($C21, Mapping!$C$2:$L$181, 6, FALSE) = 0, "", VLOOKUP($C21, Mapping!$C$2:$L$181, 6, FALSE))</f>
        <v>DbMetaData("Test Software", vFileName)</v>
      </c>
      <c r="H21" s="2" t="str">
        <f>IF(VLOOKUP($C21, Mapping!$C$2:$L$181, 7, FALSE) = 0, "", VLOOKUP($C21, Mapping!$C$2:$L$181, 7, FALSE))</f>
        <v>op_log linked index 8</v>
      </c>
      <c r="I21" s="2" t="str">
        <f>IF(VLOOKUP($C21, Mapping!$C$2:$L$181, 8, FALSE) = 0, "", VLOOKUP($C21, Mapping!$C$2:$L$181, 8, FALSE))</f>
        <v/>
      </c>
      <c r="J21" s="2" t="str">
        <f>IF(VLOOKUP($C21, Mapping!$C$2:$L$181, 9, FALSE) = 0, "", VLOOKUP($C21, Mapping!$C$2:$L$181, 9, FALSE))</f>
        <v/>
      </c>
      <c r="K21" s="2" t="str">
        <f>IF(VLOOKUP($C21, Mapping!$C$2:$L$181, 10, FALSE) = 0, "", VLOOKUP($C21, Mapping!$C$2:$L$181, 10, FALSE))</f>
        <v/>
      </c>
    </row>
    <row r="22" spans="1:11" x14ac:dyDescent="0.25">
      <c r="A22" s="11" t="s">
        <v>422</v>
      </c>
      <c r="B22" s="31" t="s">
        <v>57</v>
      </c>
      <c r="C22" s="1" t="str">
        <f t="shared" si="0"/>
        <v>File/Lot[ExecVersion]</v>
      </c>
      <c r="D22" s="1" t="str">
        <f>IF(VLOOKUP($C22, Mapping!$C$2:$L$181, 2, FALSE) = 0, "", VLOOKUP($C22, Mapping!$C$2:$L$181, 2, FALSE))</f>
        <v>TesterSoftwareRevision</v>
      </c>
      <c r="E22" s="1" t="str">
        <f>IF(VLOOKUP($C22, Mapping!$C$2:$L$181, 3, FALSE) = 0, "", VLOOKUP($C22, Mapping!$C$2:$L$181, 3, FALSE))</f>
        <v>MIR.EXEC_VER</v>
      </c>
      <c r="F22" s="1" t="str">
        <f>IF(VLOOKUP($C22, Mapping!$C$2:$L$181, 4, FALSE) = 0, "", VLOOKUP($C22, Mapping!$C$2:$L$181, 4, FALSE))</f>
        <v>Tester Software Version</v>
      </c>
      <c r="G22" s="1" t="str">
        <f>IF(VLOOKUP($C22, Mapping!$C$2:$L$181, 6, FALSE) = 0, "", VLOOKUP($C22, Mapping!$C$2:$L$181, 6, FALSE))</f>
        <v>DbMetaData("Tester Software Version", vTesterSoftwareVersion)</v>
      </c>
      <c r="H22" s="2" t="str">
        <f>IF(VLOOKUP($C22, Mapping!$C$2:$L$181, 7, FALSE) = 0, "", VLOOKUP($C22, Mapping!$C$2:$L$181, 7, FALSE))</f>
        <v>op_log linked index 9</v>
      </c>
      <c r="I22" s="2" t="str">
        <f>IF(VLOOKUP($C22, Mapping!$C$2:$L$181, 8, FALSE) = 0, "", VLOOKUP($C22, Mapping!$C$2:$L$181, 8, FALSE))</f>
        <v/>
      </c>
      <c r="J22" s="2" t="str">
        <f>IF(VLOOKUP($C22, Mapping!$C$2:$L$181, 9, FALSE) = 0, "", VLOOKUP($C22, Mapping!$C$2:$L$181, 9, FALSE))</f>
        <v/>
      </c>
      <c r="K22" s="2" t="str">
        <f>IF(VLOOKUP($C22, Mapping!$C$2:$L$181, 10, FALSE) = 0, "", VLOOKUP($C22, Mapping!$C$2:$L$181, 10, FALSE))</f>
        <v/>
      </c>
    </row>
    <row r="23" spans="1:11" x14ac:dyDescent="0.25">
      <c r="A23" s="11" t="s">
        <v>422</v>
      </c>
      <c r="B23" s="31" t="s">
        <v>192</v>
      </c>
      <c r="C23" s="1" t="str">
        <f t="shared" si="0"/>
        <v>File/Lot[AUXFile]</v>
      </c>
      <c r="D23" s="1" t="str">
        <f>IF(VLOOKUP($C23, Mapping!$C$2:$L$181, 2, FALSE) = 0, "", VLOOKUP($C23, Mapping!$C$2:$L$181, 2, FALSE))</f>
        <v>PdsFile</v>
      </c>
      <c r="E23" s="1" t="str">
        <f>IF(VLOOKUP($C23, Mapping!$C$2:$L$181, 3, FALSE) = 0, "", VLOOKUP($C23, Mapping!$C$2:$L$181, 3, FALSE))</f>
        <v>MIR.AUX_FILE</v>
      </c>
      <c r="F23" s="1" t="str">
        <f>IF(VLOOKUP($C23, Mapping!$C$2:$L$181, 4, FALSE) = 0, "", VLOOKUP($C23, Mapping!$C$2:$L$181, 4, FALSE))</f>
        <v>PDS File</v>
      </c>
      <c r="G23" s="1" t="str">
        <f>IF(VLOOKUP($C23, Mapping!$C$2:$L$181, 6, FALSE) = 0, "", VLOOKUP($C23, Mapping!$C$2:$L$181, 6, FALSE))</f>
        <v>DbMetaData("PDS File", vFileName)</v>
      </c>
      <c r="H23" s="2" t="str">
        <f>IF(VLOOKUP($C23, Mapping!$C$2:$L$181, 7, FALSE) = 0, "", VLOOKUP($C23, Mapping!$C$2:$L$181, 7, FALSE))</f>
        <v>op_log linked index 16</v>
      </c>
      <c r="I23" s="2" t="str">
        <f>IF(VLOOKUP($C23, Mapping!$C$2:$L$181, 8, FALSE) = 0, "", VLOOKUP($C23, Mapping!$C$2:$L$181, 8, FALSE))</f>
        <v/>
      </c>
      <c r="J23" s="2" t="str">
        <f>IF(VLOOKUP($C23, Mapping!$C$2:$L$181, 9, FALSE) = 0, "", VLOOKUP($C23, Mapping!$C$2:$L$181, 9, FALSE))</f>
        <v/>
      </c>
      <c r="K23" s="2" t="str">
        <f>IF(VLOOKUP($C23, Mapping!$C$2:$L$181, 10, FALSE) = 0, "", VLOOKUP($C23, Mapping!$C$2:$L$181, 10, FALSE))</f>
        <v/>
      </c>
    </row>
    <row r="24" spans="1:11" x14ac:dyDescent="0.25">
      <c r="A24" s="11" t="s">
        <v>423</v>
      </c>
      <c r="B24" s="31" t="s">
        <v>30</v>
      </c>
      <c r="C24" s="1" t="str">
        <f t="shared" si="0"/>
        <v>File/Lot/Wafer[WaferId]</v>
      </c>
      <c r="D24" s="1" t="str">
        <f>IF(VLOOKUP($C24, Mapping!$C$2:$L$181, 2, FALSE) = 0, "", VLOOKUP($C24, Mapping!$C$2:$L$181, 2, FALSE))</f>
        <v>WaferNumber</v>
      </c>
      <c r="E24" s="1" t="str">
        <f>IF(VLOOKUP($C24, Mapping!$C$2:$L$181, 3, FALSE) = 0, "", VLOOKUP($C24, Mapping!$C$2:$L$181, 3, FALSE))</f>
        <v/>
      </c>
      <c r="F24" s="1" t="str">
        <f>IF(VLOOKUP($C24, Mapping!$C$2:$L$181, 4, FALSE) = 0, "", VLOOKUP($C24, Mapping!$C$2:$L$181, 4, FALSE))</f>
        <v>Wafer Number</v>
      </c>
      <c r="G24" s="1" t="str">
        <f>IF(VLOOKUP($C24, Mapping!$C$2:$L$181, 6, FALSE) = 0, "", VLOOKUP($C24, Mapping!$C$2:$L$181, 6, FALSE))</f>
        <v>vDbWfNum</v>
      </c>
      <c r="H24" s="2" t="str">
        <f>IF(VLOOKUP($C24, Mapping!$C$2:$L$181, 7, FALSE) = 0, "", VLOOKUP($C24, Mapping!$C$2:$L$181, 7, FALSE))</f>
        <v/>
      </c>
      <c r="I24" s="2" t="str">
        <f>IF(VLOOKUP($C24, Mapping!$C$2:$L$181, 8, FALSE) = 0, "", VLOOKUP($C24, Mapping!$C$2:$L$181, 8, FALSE))</f>
        <v/>
      </c>
      <c r="J24" s="2" t="str">
        <f>IF(VLOOKUP($C24, Mapping!$C$2:$L$181, 9, FALSE) = 0, "", VLOOKUP($C24, Mapping!$C$2:$L$181, 9, FALSE))</f>
        <v/>
      </c>
      <c r="K24" s="2" t="str">
        <f>IF(VLOOKUP($C24, Mapping!$C$2:$L$181, 10, FALSE) = 0, "", VLOOKUP($C24, Mapping!$C$2:$L$181, 10, FALSE))</f>
        <v/>
      </c>
    </row>
    <row r="25" spans="1:11" x14ac:dyDescent="0.25">
      <c r="A25" s="11" t="s">
        <v>424</v>
      </c>
      <c r="B25" s="31" t="s">
        <v>7</v>
      </c>
      <c r="C25" s="1" t="str">
        <f t="shared" si="0"/>
        <v>File/Lot/Parameters/Param[Id]</v>
      </c>
      <c r="D25" s="1" t="str">
        <f>IF(VLOOKUP($C25, Mapping!$C$2:$L$181, 2, FALSE) = 0, "", VLOOKUP($C25, Mapping!$C$2:$L$181, 2, FALSE))</f>
        <v/>
      </c>
      <c r="E25" s="1" t="str">
        <f>IF(VLOOKUP($C25, Mapping!$C$2:$L$181, 3, FALSE) = 0, "", VLOOKUP($C25, Mapping!$C$2:$L$181, 3, FALSE))</f>
        <v/>
      </c>
      <c r="F25" s="1" t="str">
        <f>IF(VLOOKUP($C25, Mapping!$C$2:$L$181, 4, FALSE) = 0, "", VLOOKUP($C25, Mapping!$C$2:$L$181, 4, FALSE))</f>
        <v/>
      </c>
      <c r="G25" s="1" t="str">
        <f>IF(VLOOKUP($C25, Mapping!$C$2:$L$181, 6, FALSE) = 0, "", VLOOKUP($C25, Mapping!$C$2:$L$181, 6, FALSE))</f>
        <v/>
      </c>
      <c r="H25" s="2" t="str">
        <f>IF(VLOOKUP($C25, Mapping!$C$2:$L$181, 7, FALSE) = 0, "", VLOOKUP($C25, Mapping!$C$2:$L$181, 7, FALSE))</f>
        <v/>
      </c>
      <c r="I25" s="2" t="str">
        <f>IF(VLOOKUP($C25, Mapping!$C$2:$L$181, 8, FALSE) = 0, "", VLOOKUP($C25, Mapping!$C$2:$L$181, 8, FALSE))</f>
        <v/>
      </c>
      <c r="J25" s="2" t="str">
        <f>IF(VLOOKUP($C25, Mapping!$C$2:$L$181, 9, FALSE) = 0, "", VLOOKUP($C25, Mapping!$C$2:$L$181, 9, FALSE))</f>
        <v/>
      </c>
      <c r="K25" s="2" t="str">
        <f>IF(VLOOKUP($C25, Mapping!$C$2:$L$181, 10, FALSE) = 0, "", VLOOKUP($C25, Mapping!$C$2:$L$181, 10, FALSE))</f>
        <v/>
      </c>
    </row>
    <row r="26" spans="1:11" x14ac:dyDescent="0.25">
      <c r="A26" s="11" t="s">
        <v>424</v>
      </c>
      <c r="B26" s="31" t="s">
        <v>32</v>
      </c>
      <c r="C26" s="1" t="str">
        <f t="shared" si="0"/>
        <v>File/Lot/Parameters/Param[TestName]</v>
      </c>
      <c r="D26" s="1" t="str">
        <f>IF(VLOOKUP($C26, Mapping!$C$2:$L$181, 2, FALSE) = 0, "", VLOOKUP($C26, Mapping!$C$2:$L$181, 2, FALSE))</f>
        <v/>
      </c>
      <c r="E26" s="1" t="str">
        <f>IF(VLOOKUP($C26, Mapping!$C$2:$L$181, 3, FALSE) = 0, "", VLOOKUP($C26, Mapping!$C$2:$L$181, 3, FALSE))</f>
        <v/>
      </c>
      <c r="F26" s="1" t="str">
        <f>IF(VLOOKUP($C26, Mapping!$C$2:$L$181, 4, FALSE) = 0, "", VLOOKUP($C26, Mapping!$C$2:$L$181, 4, FALSE))</f>
        <v>TestName (KeyCond)</v>
      </c>
      <c r="G26" s="1" t="str">
        <f>IF(VLOOKUP($C26, Mapping!$C$2:$L$181, 6, FALSE) = 0, "", VLOOKUP($C26, Mapping!$C$2:$L$181, 6, FALSE))</f>
        <v/>
      </c>
      <c r="H26" s="2" t="str">
        <f>IF(VLOOKUP($C26, Mapping!$C$2:$L$181, 7, FALSE) = 0, "", VLOOKUP($C26, Mapping!$C$2:$L$181, 7, FALSE))</f>
        <v/>
      </c>
      <c r="I26" s="2" t="str">
        <f>IF(VLOOKUP($C26, Mapping!$C$2:$L$181, 8, FALSE) = 0, "", VLOOKUP($C26, Mapping!$C$2:$L$181, 8, FALSE))</f>
        <v/>
      </c>
      <c r="J26" s="2" t="str">
        <f>IF(VLOOKUP($C26, Mapping!$C$2:$L$181, 9, FALSE) = 0, "", VLOOKUP($C26, Mapping!$C$2:$L$181, 9, FALSE))</f>
        <v/>
      </c>
      <c r="K26" s="2" t="str">
        <f>IF(VLOOKUP($C26, Mapping!$C$2:$L$181, 10, FALSE) = 0, "", VLOOKUP($C26, Mapping!$C$2:$L$181, 10, FALSE))</f>
        <v/>
      </c>
    </row>
    <row r="27" spans="1:11" x14ac:dyDescent="0.25">
      <c r="A27" s="11" t="s">
        <v>424</v>
      </c>
      <c r="B27" s="31" t="s">
        <v>33</v>
      </c>
      <c r="C27" s="1" t="str">
        <f t="shared" si="0"/>
        <v>File/Lot/Parameters/Param[TestNumber]</v>
      </c>
      <c r="D27" s="1" t="str">
        <f>IF(VLOOKUP($C27, Mapping!$C$2:$L$181, 2, FALSE) = 0, "", VLOOKUP($C27, Mapping!$C$2:$L$181, 2, FALSE))</f>
        <v/>
      </c>
      <c r="E27" s="1" t="str">
        <f>IF(VLOOKUP($C27, Mapping!$C$2:$L$181, 3, FALSE) = 0, "", VLOOKUP($C27, Mapping!$C$2:$L$181, 3, FALSE))</f>
        <v/>
      </c>
      <c r="F27" s="1" t="str">
        <f>IF(VLOOKUP($C27, Mapping!$C$2:$L$181, 4, FALSE) = 0, "", VLOOKUP($C27, Mapping!$C$2:$L$181, 4, FALSE))</f>
        <v>TestNumber (KeyCond)</v>
      </c>
      <c r="G27" s="1" t="str">
        <f>IF(VLOOKUP($C27, Mapping!$C$2:$L$181, 6, FALSE) = 0, "", VLOOKUP($C27, Mapping!$C$2:$L$181, 6, FALSE))</f>
        <v/>
      </c>
      <c r="H27" s="2" t="str">
        <f>IF(VLOOKUP($C27, Mapping!$C$2:$L$181, 7, FALSE) = 0, "", VLOOKUP($C27, Mapping!$C$2:$L$181, 7, FALSE))</f>
        <v/>
      </c>
      <c r="I27" s="2" t="str">
        <f>IF(VLOOKUP($C27, Mapping!$C$2:$L$181, 8, FALSE) = 0, "", VLOOKUP($C27, Mapping!$C$2:$L$181, 8, FALSE))</f>
        <v/>
      </c>
      <c r="J27" s="2" t="str">
        <f>IF(VLOOKUP($C27, Mapping!$C$2:$L$181, 9, FALSE) = 0, "", VLOOKUP($C27, Mapping!$C$2:$L$181, 9, FALSE))</f>
        <v/>
      </c>
      <c r="K27" s="2" t="str">
        <f>IF(VLOOKUP($C27, Mapping!$C$2:$L$181, 10, FALSE) = 0, "", VLOOKUP($C27, Mapping!$C$2:$L$181, 10, FALSE))</f>
        <v/>
      </c>
    </row>
    <row r="28" spans="1:11" x14ac:dyDescent="0.25">
      <c r="A28" s="11" t="s">
        <v>424</v>
      </c>
      <c r="B28" s="31" t="s">
        <v>34</v>
      </c>
      <c r="C28" s="1" t="str">
        <f t="shared" si="0"/>
        <v>File/Lot/Parameters/Param[Units]</v>
      </c>
      <c r="D28" s="1" t="str">
        <f>IF(VLOOKUP($C28, Mapping!$C$2:$L$181, 2, FALSE) = 0, "", VLOOKUP($C28, Mapping!$C$2:$L$181, 2, FALSE))</f>
        <v/>
      </c>
      <c r="E28" s="1" t="str">
        <f>IF(VLOOKUP($C28, Mapping!$C$2:$L$181, 3, FALSE) = 0, "", VLOOKUP($C28, Mapping!$C$2:$L$181, 3, FALSE))</f>
        <v/>
      </c>
      <c r="F28" s="1" t="str">
        <f>IF(VLOOKUP($C28, Mapping!$C$2:$L$181, 4, FALSE) = 0, "", VLOOKUP($C28, Mapping!$C$2:$L$181, 4, FALSE))</f>
        <v/>
      </c>
      <c r="G28" s="1" t="str">
        <f>IF(VLOOKUP($C28, Mapping!$C$2:$L$181, 6, FALSE) = 0, "", VLOOKUP($C28, Mapping!$C$2:$L$181, 6, FALSE))</f>
        <v/>
      </c>
      <c r="H28" s="2" t="str">
        <f>IF(VLOOKUP($C28, Mapping!$C$2:$L$181, 7, FALSE) = 0, "", VLOOKUP($C28, Mapping!$C$2:$L$181, 7, FALSE))</f>
        <v/>
      </c>
      <c r="I28" s="2" t="str">
        <f>IF(VLOOKUP($C28, Mapping!$C$2:$L$181, 8, FALSE) = 0, "", VLOOKUP($C28, Mapping!$C$2:$L$181, 8, FALSE))</f>
        <v/>
      </c>
      <c r="J28" s="2" t="str">
        <f>IF(VLOOKUP($C28, Mapping!$C$2:$L$181, 9, FALSE) = 0, "", VLOOKUP($C28, Mapping!$C$2:$L$181, 9, FALSE))</f>
        <v/>
      </c>
      <c r="K28" s="2" t="str">
        <f>IF(VLOOKUP($C28, Mapping!$C$2:$L$181, 10, FALSE) = 0, "", VLOOKUP($C28, Mapping!$C$2:$L$181, 10, FALSE))</f>
        <v/>
      </c>
    </row>
    <row r="29" spans="1:11" x14ac:dyDescent="0.25">
      <c r="A29" s="11" t="s">
        <v>425</v>
      </c>
      <c r="B29" s="31" t="s">
        <v>35</v>
      </c>
      <c r="C29" s="1" t="str">
        <f t="shared" si="0"/>
        <v>File/Lot/Wafer/ParametricData/Unit[X]</v>
      </c>
      <c r="D29" s="1" t="str">
        <f>IF(VLOOKUP($C29, Mapping!$C$2:$L$181, 2, FALSE) = 0, "", VLOOKUP($C29, Mapping!$C$2:$L$181, 2, FALSE))</f>
        <v/>
      </c>
      <c r="E29" s="1" t="str">
        <f>IF(VLOOKUP($C29, Mapping!$C$2:$L$181, 3, FALSE) = 0, "", VLOOKUP($C29, Mapping!$C$2:$L$181, 3, FALSE))</f>
        <v/>
      </c>
      <c r="F29" s="1" t="str">
        <f>IF(VLOOKUP($C29, Mapping!$C$2:$L$181, 4, FALSE) = 0, "", VLOOKUP($C29, Mapping!$C$2:$L$181, 4, FALSE))</f>
        <v>Wafer Original die x/y coordinate</v>
      </c>
      <c r="G29" s="1" t="str">
        <f>IF(VLOOKUP($C29, Mapping!$C$2:$L$181, 6, FALSE) = 0, "", VLOOKUP($C29, Mapping!$C$2:$L$181, 6, FALSE))</f>
        <v>DbDieXYIndexes</v>
      </c>
      <c r="H29" s="2" t="str">
        <f>IF(VLOOKUP($C29, Mapping!$C$2:$L$181, 7, FALSE) = 0, "", VLOOKUP($C29, Mapping!$C$2:$L$181, 7, FALSE))</f>
        <v>res index</v>
      </c>
      <c r="I29" s="2" t="str">
        <f>IF(VLOOKUP($C29, Mapping!$C$2:$L$181, 8, FALSE) = 0, "", VLOOKUP($C29, Mapping!$C$2:$L$181, 8, FALSE))</f>
        <v>key</v>
      </c>
      <c r="J29" s="2" t="str">
        <f>IF(VLOOKUP($C29, Mapping!$C$2:$L$181, 9, FALSE) = 0, "", VLOOKUP($C29, Mapping!$C$2:$L$181, 9, FALSE))</f>
        <v/>
      </c>
      <c r="K29" s="2" t="str">
        <f>IF(VLOOKUP($C29, Mapping!$C$2:$L$181, 10, FALSE) = 0, "", VLOOKUP($C29, Mapping!$C$2:$L$181, 10, FALSE))</f>
        <v/>
      </c>
    </row>
    <row r="30" spans="1:11" x14ac:dyDescent="0.25">
      <c r="A30" s="11" t="s">
        <v>425</v>
      </c>
      <c r="B30" s="31" t="s">
        <v>0</v>
      </c>
      <c r="C30" s="1" t="str">
        <f t="shared" si="0"/>
        <v>File/Lot/Wafer/ParametricData/Unit[Y]</v>
      </c>
      <c r="D30" s="1" t="str">
        <f>IF(VLOOKUP($C30, Mapping!$C$2:$L$181, 2, FALSE) = 0, "", VLOOKUP($C30, Mapping!$C$2:$L$181, 2, FALSE))</f>
        <v/>
      </c>
      <c r="E30" s="1" t="str">
        <f>IF(VLOOKUP($C30, Mapping!$C$2:$L$181, 3, FALSE) = 0, "", VLOOKUP($C30, Mapping!$C$2:$L$181, 3, FALSE))</f>
        <v/>
      </c>
      <c r="F30" s="1" t="str">
        <f>IF(VLOOKUP($C30, Mapping!$C$2:$L$181, 4, FALSE) = 0, "", VLOOKUP($C30, Mapping!$C$2:$L$181, 4, FALSE))</f>
        <v>Wafer Original die x/y coordinate</v>
      </c>
      <c r="G30" s="1" t="str">
        <f>IF(VLOOKUP($C30, Mapping!$C$2:$L$181, 6, FALSE) = 0, "", VLOOKUP($C30, Mapping!$C$2:$L$181, 6, FALSE))</f>
        <v>DbDieXYIndexes</v>
      </c>
      <c r="H30" s="2" t="str">
        <f>IF(VLOOKUP($C30, Mapping!$C$2:$L$181, 7, FALSE) = 0, "", VLOOKUP($C30, Mapping!$C$2:$L$181, 7, FALSE))</f>
        <v>res index</v>
      </c>
      <c r="I30" s="2" t="str">
        <f>IF(VLOOKUP($C30, Mapping!$C$2:$L$181, 8, FALSE) = 0, "", VLOOKUP($C30, Mapping!$C$2:$L$181, 8, FALSE))</f>
        <v>key</v>
      </c>
      <c r="J30" s="2" t="str">
        <f>IF(VLOOKUP($C30, Mapping!$C$2:$L$181, 9, FALSE) = 0, "", VLOOKUP($C30, Mapping!$C$2:$L$181, 9, FALSE))</f>
        <v/>
      </c>
      <c r="K30" s="2" t="str">
        <f>IF(VLOOKUP($C30, Mapping!$C$2:$L$181, 10, FALSE) = 0, "", VLOOKUP($C30, Mapping!$C$2:$L$181, 10, FALSE))</f>
        <v/>
      </c>
    </row>
    <row r="31" spans="1:11" x14ac:dyDescent="0.25">
      <c r="A31" s="11" t="s">
        <v>425</v>
      </c>
      <c r="B31" s="31" t="s">
        <v>36</v>
      </c>
      <c r="C31" s="1" t="str">
        <f t="shared" si="0"/>
        <v>File/Lot/Wafer/ParametricData/Unit[HardBin]</v>
      </c>
      <c r="D31" s="1" t="str">
        <f>IF(VLOOKUP($C31, Mapping!$C$2:$L$181, 2, FALSE) = 0, "", VLOOKUP($C31, Mapping!$C$2:$L$181, 2, FALSE))</f>
        <v/>
      </c>
      <c r="E31" s="1" t="str">
        <f>IF(VLOOKUP($C31, Mapping!$C$2:$L$181, 3, FALSE) = 0, "", VLOOKUP($C31, Mapping!$C$2:$L$181, 3, FALSE))</f>
        <v/>
      </c>
      <c r="F31" s="1" t="str">
        <f>IF(VLOOKUP($C31, Mapping!$C$2:$L$181, 4, FALSE) = 0, "", VLOOKUP($C31, Mapping!$C$2:$L$181, 4, FALSE))</f>
        <v>Hardbin number</v>
      </c>
      <c r="G31" s="1" t="str">
        <f>IF(VLOOKUP($C31, Mapping!$C$2:$L$181, 6, FALSE) = 0, "", VLOOKUP($C31, Mapping!$C$2:$L$181, 6, FALSE))</f>
        <v>HardBin (Index)</v>
      </c>
      <c r="H31" s="2" t="str">
        <f>IF(VLOOKUP($C31, Mapping!$C$2:$L$181, 7, FALSE) = 0, "", VLOOKUP($C31, Mapping!$C$2:$L$181, 7, FALSE))</f>
        <v>res index</v>
      </c>
      <c r="I31" s="2" t="str">
        <f>IF(VLOOKUP($C31, Mapping!$C$2:$L$181, 8, FALSE) = 0, "", VLOOKUP($C31, Mapping!$C$2:$L$181, 8, FALSE))</f>
        <v>non-key</v>
      </c>
      <c r="J31" s="2" t="str">
        <f>IF(VLOOKUP($C31, Mapping!$C$2:$L$181, 9, FALSE) = 0, "", VLOOKUP($C31, Mapping!$C$2:$L$181, 9, FALSE))</f>
        <v/>
      </c>
      <c r="K31" s="2" t="str">
        <f>IF(VLOOKUP($C31, Mapping!$C$2:$L$181, 10, FALSE) = 0, "", VLOOKUP($C31, Mapping!$C$2:$L$181, 10, FALSE))</f>
        <v/>
      </c>
    </row>
    <row r="32" spans="1:11" x14ac:dyDescent="0.25">
      <c r="A32" s="11" t="s">
        <v>425</v>
      </c>
      <c r="B32" s="31" t="s">
        <v>37</v>
      </c>
      <c r="C32" s="1" t="str">
        <f t="shared" si="0"/>
        <v>File/Lot/Wafer/ParametricData/Unit[SoftBin]</v>
      </c>
      <c r="D32" s="20" t="str">
        <f>IF(VLOOKUP($C32, Mapping!$C$2:$L$181, 2, FALSE) = 0, "", VLOOKUP($C32, Mapping!$C$2:$L$181, 2, FALSE))</f>
        <v/>
      </c>
      <c r="E32" s="1" t="str">
        <f>IF(VLOOKUP($C32, Mapping!$C$2:$L$181, 3, FALSE) = 0, "", VLOOKUP($C32, Mapping!$C$2:$L$181, 3, FALSE))</f>
        <v/>
      </c>
      <c r="F32" s="1" t="str">
        <f>IF(VLOOKUP($C32, Mapping!$C$2:$L$181, 4, FALSE) = 0, "", VLOOKUP($C32, Mapping!$C$2:$L$181, 4, FALSE))</f>
        <v>Softbin number</v>
      </c>
      <c r="G32" s="1" t="str">
        <f>IF(VLOOKUP($C32, Mapping!$C$2:$L$181, 6, FALSE) = 0, "", VLOOKUP($C32, Mapping!$C$2:$L$181, 6, FALSE))</f>
        <v>SoftBin (Index)</v>
      </c>
      <c r="H32" s="2" t="str">
        <f>IF(VLOOKUP($C32, Mapping!$C$2:$L$181, 7, FALSE) = 0, "", VLOOKUP($C32, Mapping!$C$2:$L$181, 7, FALSE))</f>
        <v>res index</v>
      </c>
      <c r="I32" s="2" t="str">
        <f>IF(VLOOKUP($C32, Mapping!$C$2:$L$181, 8, FALSE) = 0, "", VLOOKUP($C32, Mapping!$C$2:$L$181, 8, FALSE))</f>
        <v>non-key</v>
      </c>
      <c r="J32" s="2" t="str">
        <f>IF(VLOOKUP($C32, Mapping!$C$2:$L$181, 9, FALSE) = 0, "", VLOOKUP($C32, Mapping!$C$2:$L$181, 9, FALSE))</f>
        <v/>
      </c>
      <c r="K32" s="2" t="str">
        <f>IF(VLOOKUP($C32, Mapping!$C$2:$L$181, 10, FALSE) = 0, "", VLOOKUP($C32, Mapping!$C$2:$L$181, 10, FALSE))</f>
        <v/>
      </c>
    </row>
    <row r="33" spans="1:11" x14ac:dyDescent="0.25">
      <c r="A33" s="11" t="s">
        <v>425</v>
      </c>
      <c r="B33" s="31" t="s">
        <v>46</v>
      </c>
      <c r="C33" s="20" t="str">
        <f t="shared" si="0"/>
        <v>File/Lot/Wafer/ParametricData/Unit[Site]</v>
      </c>
      <c r="D33" s="20" t="str">
        <f>IF(VLOOKUP($C33, Mapping!$C$2:$L$181, 2, FALSE) = 0, "", VLOOKUP($C33, Mapping!$C$2:$L$181, 2, FALSE))</f>
        <v/>
      </c>
      <c r="E33" s="20" t="str">
        <f>IF(VLOOKUP($C33, Mapping!$C$2:$L$181, 3, FALSE) = 0, "", VLOOKUP($C33, Mapping!$C$2:$L$181, 3, FALSE))</f>
        <v/>
      </c>
      <c r="F33" s="20" t="str">
        <f>IF(VLOOKUP($C33, Mapping!$C$2:$L$181, 4, FALSE) = 0, "", VLOOKUP($C33, Mapping!$C$2:$L$181, 4, FALSE))</f>
        <v>Test Site ID</v>
      </c>
      <c r="G33" s="20" t="str">
        <f>IF(VLOOKUP($C33, Mapping!$C$2:$L$181, 6, FALSE) = 0, "", VLOOKUP($C33, Mapping!$C$2:$L$181, 6, FALSE))</f>
        <v>TestSite (Index)</v>
      </c>
      <c r="H33" s="2" t="str">
        <f>IF(VLOOKUP($C33, Mapping!$C$2:$L$181, 7, FALSE) = 0, "", VLOOKUP($C33, Mapping!$C$2:$L$181, 7, FALSE))</f>
        <v/>
      </c>
      <c r="I33" s="30" t="str">
        <f>IF(VLOOKUP($C33, Mapping!$C$2:$L$181, 8, FALSE) = 0, "", VLOOKUP($C33, Mapping!$C$2:$L$181, 8, FALSE))</f>
        <v/>
      </c>
      <c r="J33" s="30" t="str">
        <f>IF(VLOOKUP($C33, Mapping!$C$2:$L$181, 9, FALSE) = 0, "", VLOOKUP($C33, Mapping!$C$2:$L$181, 9, FALSE))</f>
        <v/>
      </c>
      <c r="K33" s="21" t="str">
        <f>IF(VLOOKUP($C33, Mapping!$C$2:$L$181, 10, FALSE) = 0, "", VLOOKUP($C33, Mapping!$C$2:$L$181, 10, FALSE))</f>
        <v/>
      </c>
    </row>
    <row r="34" spans="1:11" x14ac:dyDescent="0.25">
      <c r="A34" s="11"/>
      <c r="B34" s="1" t="s">
        <v>13</v>
      </c>
      <c r="C34" s="20" t="str">
        <f t="shared" si="0"/>
        <v>[Program Group]</v>
      </c>
      <c r="D34" s="20" t="str">
        <f>IF(VLOOKUP($C34, Mapping!$C$2:$L$181, 2, FALSE) = 0, "", VLOOKUP($C34, Mapping!$C$2:$L$181, 2, FALSE))</f>
        <v>ProgramGroup</v>
      </c>
      <c r="E34" s="20" t="str">
        <f>IF(VLOOKUP($C34, Mapping!$C$2:$L$181, 3, FALSE) = 0, "", VLOOKUP($C34, Mapping!$C$2:$L$181, 3, FALSE))</f>
        <v/>
      </c>
      <c r="F34" s="20" t="str">
        <f>IF(VLOOKUP($C34, Mapping!$C$2:$L$181, 4, FALSE) = 0, "", VLOOKUP($C34, Mapping!$C$2:$L$181, 4, FALSE))</f>
        <v>Program Group</v>
      </c>
      <c r="G34" s="20" t="str">
        <f>IF(VLOOKUP($C34, Mapping!$C$2:$L$181, 6, FALSE) = 0, "", VLOOKUP($C34, Mapping!$C$2:$L$181, 6, FALSE))</f>
        <v>vDbProgGroup</v>
      </c>
      <c r="H34" s="2" t="str">
        <f>IF(VLOOKUP($C34, Mapping!$C$2:$L$181, 7, FALSE) = 0, "", VLOOKUP($C34, Mapping!$C$2:$L$181, 7, FALSE))</f>
        <v/>
      </c>
      <c r="I34" s="30" t="str">
        <f>IF(VLOOKUP($C34, Mapping!$C$2:$L$181, 8, FALSE) = 0, "", VLOOKUP($C34, Mapping!$C$2:$L$181, 8, FALSE))</f>
        <v/>
      </c>
      <c r="J34" s="30" t="str">
        <f>IF(VLOOKUP($C34, Mapping!$C$2:$L$181, 9, FALSE) = 0, "", VLOOKUP($C34, Mapping!$C$2:$L$181, 9, FALSE))</f>
        <v/>
      </c>
      <c r="K34" s="21" t="str">
        <f>IF(VLOOKUP($C34, Mapping!$C$2:$L$181, 10, FALSE) = 0, "", VLOOKUP($C34, Mapping!$C$2:$L$181, 10, FALSE))</f>
        <v>Constant: "Probe Parametric"</v>
      </c>
    </row>
    <row r="35" spans="1:11" x14ac:dyDescent="0.25">
      <c r="A35" s="11"/>
      <c r="B35" s="1" t="s">
        <v>52</v>
      </c>
      <c r="C35" s="20" t="str">
        <f t="shared" ref="C35:C36" si="1">IF(NOT(ISBLANK(B35)),_xlfn.CONCAT(A35,"[",B35,"]"),"")</f>
        <v>[Area]</v>
      </c>
      <c r="D35" s="20" t="str">
        <f>IF(VLOOKUP($C35, Mapping!$C$2:$L$181, 2, FALSE) = 0, "", VLOOKUP($C35, Mapping!$C$2:$L$181, 2, FALSE))</f>
        <v/>
      </c>
      <c r="E35" s="20" t="str">
        <f>IF(VLOOKUP($C35, Mapping!$C$2:$L$181, 3, FALSE) = 0, "", VLOOKUP($C35, Mapping!$C$2:$L$181, 3, FALSE))</f>
        <v/>
      </c>
      <c r="F35" s="20" t="str">
        <f>IF(VLOOKUP($C35, Mapping!$C$2:$L$181, 4, FALSE) = 0, "", VLOOKUP($C35, Mapping!$C$2:$L$181, 4, FALSE))</f>
        <v>Area</v>
      </c>
      <c r="G35" s="20" t="str">
        <f>IF(VLOOKUP($C35, Mapping!$C$2:$L$181, 6, FALSE) = 0, "", VLOOKUP($C35, Mapping!$C$2:$L$181, 6, FALSE))</f>
        <v>DbMetaData("Area", vArea)</v>
      </c>
      <c r="H35" s="2" t="str">
        <f>IF(VLOOKUP($C35, Mapping!$C$2:$L$181, 7, FALSE) = 0, "", VLOOKUP($C35, Mapping!$C$2:$L$181, 7, FALSE))</f>
        <v>op_log linked index 1</v>
      </c>
      <c r="I35" s="30" t="str">
        <f>IF(VLOOKUP($C35, Mapping!$C$2:$L$181, 8, FALSE) = 0, "", VLOOKUP($C35, Mapping!$C$2:$L$181, 8, FALSE))</f>
        <v/>
      </c>
      <c r="J35" s="30" t="str">
        <f>IF(VLOOKUP($C35, Mapping!$C$2:$L$181, 9, FALSE) = 0, "", VLOOKUP($C35, Mapping!$C$2:$L$181, 9, FALSE))</f>
        <v/>
      </c>
      <c r="K35" s="21" t="str">
        <f>IF(VLOOKUP($C35, Mapping!$C$2:$L$181, 10, FALSE) = 0, "", VLOOKUP($C35, Mapping!$C$2:$L$181, 10, FALSE))</f>
        <v>Constant: "Probe"</v>
      </c>
    </row>
    <row r="36" spans="1:11" x14ac:dyDescent="0.25">
      <c r="A36" s="11"/>
      <c r="B36" s="1" t="s">
        <v>276</v>
      </c>
      <c r="C36" s="22" t="str">
        <f t="shared" si="1"/>
        <v>[Reticle Id]</v>
      </c>
      <c r="D36" s="20" t="str">
        <f>IF(VLOOKUP($C36, Mapping!$C$2:$L$181, 2, FALSE) = 0, "", VLOOKUP($C36, Mapping!$C$2:$L$181, 2, FALSE))</f>
        <v/>
      </c>
      <c r="E36" s="20" t="str">
        <f>IF(VLOOKUP($C36, Mapping!$C$2:$L$181, 3, FALSE) = 0, "", VLOOKUP($C36, Mapping!$C$2:$L$181, 3, FALSE))</f>
        <v/>
      </c>
      <c r="F36" s="20" t="str">
        <f>IF(VLOOKUP($C36, Mapping!$C$2:$L$181, 4, FALSE) = 0, "", VLOOKUP($C36, Mapping!$C$2:$L$181, 4, FALSE))</f>
        <v>reticle_id</v>
      </c>
      <c r="G36" s="20" t="str">
        <f>IF(VLOOKUP($C36, Mapping!$C$2:$L$181, 6, FALSE) = 0, "", VLOOKUP($C36, Mapping!$C$2:$L$181, 6, FALSE))</f>
        <v>(Index)</v>
      </c>
      <c r="H36" s="2" t="str">
        <f>IF(VLOOKUP($C36, Mapping!$C$2:$L$181, 7, FALSE) = 0, "", VLOOKUP($C36, Mapping!$C$2:$L$181, 7, FALSE))</f>
        <v>res index</v>
      </c>
      <c r="I36" s="30" t="str">
        <f>IF(VLOOKUP($C36, Mapping!$C$2:$L$181, 8, FALSE) = 0, "", VLOOKUP($C36, Mapping!$C$2:$L$181, 8, FALSE))</f>
        <v>non-key</v>
      </c>
      <c r="J36" s="30" t="str">
        <f>IF(VLOOKUP($C36, Mapping!$C$2:$L$181, 9, FALSE) = 0, "", VLOOKUP($C36, Mapping!$C$2:$L$181, 9, FALSE))</f>
        <v>String</v>
      </c>
      <c r="K36" s="21" t="str">
        <f>IF(VLOOKUP($C36, Mapping!$C$2:$L$181, 10, FALSE) = 0, "", VLOOKUP($C36, Mapping!$C$2:$L$181, 10, FALSE))</f>
        <v>Set to -1 by default if reticle coordinates are not available.</v>
      </c>
    </row>
    <row r="37" spans="1:11" x14ac:dyDescent="0.25">
      <c r="A37" s="11" t="s">
        <v>422</v>
      </c>
      <c r="B37" s="3" t="s">
        <v>289</v>
      </c>
      <c r="C37" s="20" t="str">
        <f t="shared" ref="C37:C41" si="2">IF(NOT(ISBLANK(B37)),_xlfn.CONCAT(A37,"[",B37,"]"),"")</f>
        <v>File/Lot[Tester/Tool ID]</v>
      </c>
      <c r="D37" s="20" t="str">
        <f>IF(VLOOKUP($C37, Mapping!$C$2:$L$181, 2, FALSE) = 0, "", VLOOKUP($C37, Mapping!$C$2:$L$181, 2, FALSE))</f>
        <v>MeasuringEquipment</v>
      </c>
      <c r="E37" s="20" t="str">
        <f>IF(VLOOKUP($C37, Mapping!$C$2:$L$181, 3, FALSE) = 0, "", VLOOKUP($C37, Mapping!$C$2:$L$181, 3, FALSE))</f>
        <v/>
      </c>
      <c r="F37" s="20" t="str">
        <f>IF(VLOOKUP($C37, Mapping!$C$2:$L$181, 4, FALSE) = 0, "", VLOOKUP($C37, Mapping!$C$2:$L$181, 4, FALSE))</f>
        <v>Tester/Tool ID</v>
      </c>
      <c r="G37" s="20" t="str">
        <f>IF(VLOOKUP($C37, Mapping!$C$2:$L$181, 6, FALSE) = 0, "", VLOOKUP($C37, Mapping!$C$2:$L$181, 6, FALSE))</f>
        <v>vDbEquip1</v>
      </c>
      <c r="H37" s="2" t="str">
        <f>IF(VLOOKUP($C37, Mapping!$C$2:$L$181, 7, FALSE) = 0, "", VLOOKUP($C37, Mapping!$C$2:$L$181, 7, FALSE))</f>
        <v>Equip[1]</v>
      </c>
      <c r="I37" s="30" t="str">
        <f>IF(VLOOKUP($C37, Mapping!$C$2:$L$181, 8, FALSE) = 0, "", VLOOKUP($C37, Mapping!$C$2:$L$181, 8, FALSE))</f>
        <v/>
      </c>
      <c r="J37" s="30" t="str">
        <f>IF(VLOOKUP($C37, Mapping!$C$2:$L$181, 9, FALSE) = 0, "", VLOOKUP($C37, Mapping!$C$2:$L$181, 9, FALSE))</f>
        <v/>
      </c>
      <c r="K37" s="21" t="str">
        <f>IF(VLOOKUP($C37, Mapping!$C$2:$L$181, 10, FALSE) = 0, "", VLOOKUP($C37, Mapping!$C$2:$L$181, 10, FALSE))</f>
        <v/>
      </c>
    </row>
    <row r="38" spans="1:11" x14ac:dyDescent="0.25">
      <c r="A38" s="10" t="s">
        <v>429</v>
      </c>
      <c r="B38" s="3" t="s">
        <v>248</v>
      </c>
      <c r="C38" s="20" t="str">
        <f t="shared" si="2"/>
        <v>File/Lot/Sites/Site[HandlerId]</v>
      </c>
      <c r="D38" s="20" t="str">
        <f>IF(VLOOKUP($C38, Mapping!$C$2:$L$181, 2, FALSE) = 0, "", VLOOKUP($C38, Mapping!$C$2:$L$181, 2, FALSE))</f>
        <v/>
      </c>
      <c r="E38" s="20" t="str">
        <f>IF(VLOOKUP($C38, Mapping!$C$2:$L$181, 3, FALSE) = 0, "", VLOOKUP($C38, Mapping!$C$2:$L$181, 3, FALSE))</f>
        <v>SDR.HAND_ID</v>
      </c>
      <c r="F38" s="20" t="str">
        <f>IF(VLOOKUP($C38, Mapping!$C$2:$L$181, 4, FALSE) = 0, "", VLOOKUP($C38, Mapping!$C$2:$L$181, 4, FALSE))</f>
        <v>Prober ID</v>
      </c>
      <c r="G38" s="20" t="str">
        <f>IF(VLOOKUP($C38, Mapping!$C$2:$L$181, 6, FALSE) = 0, "", VLOOKUP($C38, Mapping!$C$2:$L$181, 6, FALSE))</f>
        <v>vDbEquip2</v>
      </c>
      <c r="H38" s="2" t="str">
        <f>IF(VLOOKUP($C38, Mapping!$C$2:$L$181, 7, FALSE) = 0, "", VLOOKUP($C38, Mapping!$C$2:$L$181, 7, FALSE))</f>
        <v>Equip[2]</v>
      </c>
      <c r="I38" s="30" t="str">
        <f>IF(VLOOKUP($C38, Mapping!$C$2:$L$181, 8, FALSE) = 0, "", VLOOKUP($C38, Mapping!$C$2:$L$181, 8, FALSE))</f>
        <v/>
      </c>
      <c r="J38" s="30" t="str">
        <f>IF(VLOOKUP($C38, Mapping!$C$2:$L$181, 9, FALSE) = 0, "", VLOOKUP($C38, Mapping!$C$2:$L$181, 9, FALSE))</f>
        <v/>
      </c>
      <c r="K38" s="21" t="str">
        <f>IF(VLOOKUP($C38, Mapping!$C$2:$L$181, 10, FALSE) = 0, "", VLOOKUP($C38, Mapping!$C$2:$L$181, 10, FALSE))</f>
        <v/>
      </c>
    </row>
    <row r="39" spans="1:11" x14ac:dyDescent="0.25">
      <c r="A39" s="11"/>
      <c r="B39" s="3" t="s">
        <v>326</v>
      </c>
      <c r="C39" s="20" t="str">
        <f t="shared" si="2"/>
        <v>[Probe ID Type]</v>
      </c>
      <c r="D39" s="20" t="str">
        <f>IF(VLOOKUP($C39, Mapping!$C$2:$L$181, 2, FALSE) = 0, "", VLOOKUP($C39, Mapping!$C$2:$L$181, 2, FALSE))</f>
        <v/>
      </c>
      <c r="E39" s="20" t="str">
        <f>IF(VLOOKUP($C39, Mapping!$C$2:$L$181, 3, FALSE) = 0, "", VLOOKUP($C39, Mapping!$C$2:$L$181, 3, FALSE))</f>
        <v>SDR.HAND_TYP</v>
      </c>
      <c r="F39" s="20" t="str">
        <f>IF(VLOOKUP($C39, Mapping!$C$2:$L$181, 4, FALSE) = 0, "", VLOOKUP($C39, Mapping!$C$2:$L$181, 4, FALSE))</f>
        <v>Prober ID Type</v>
      </c>
      <c r="G39" s="20" t="str">
        <f>IF(VLOOKUP($C39, Mapping!$C$2:$L$181, 6, FALSE) = 0, "", VLOOKUP($C39, Mapping!$C$2:$L$181, 6, FALSE))</f>
        <v/>
      </c>
      <c r="H39" s="2" t="str">
        <f>IF(VLOOKUP($C39, Mapping!$C$2:$L$181, 7, FALSE) = 0, "", VLOOKUP($C39, Mapping!$C$2:$L$181, 7, FALSE))</f>
        <v>Equip[2] Type</v>
      </c>
      <c r="I39" s="30" t="str">
        <f>IF(VLOOKUP($C39, Mapping!$C$2:$L$181, 8, FALSE) = 0, "", VLOOKUP($C39, Mapping!$C$2:$L$181, 8, FALSE))</f>
        <v/>
      </c>
      <c r="J39" s="30" t="str">
        <f>IF(VLOOKUP($C39, Mapping!$C$2:$L$181, 9, FALSE) = 0, "", VLOOKUP($C39, Mapping!$C$2:$L$181, 9, FALSE))</f>
        <v/>
      </c>
      <c r="K39" s="21" t="str">
        <f>IF(VLOOKUP($C39, Mapping!$C$2:$L$181, 10, FALSE) = 0, "", VLOOKUP($C39, Mapping!$C$2:$L$181, 10, FALSE))</f>
        <v/>
      </c>
    </row>
    <row r="40" spans="1:11" x14ac:dyDescent="0.25">
      <c r="A40" s="10" t="s">
        <v>429</v>
      </c>
      <c r="B40" s="3" t="s">
        <v>250</v>
      </c>
      <c r="C40" s="20" t="str">
        <f t="shared" si="2"/>
        <v>File/Lot/Sites/Site[CardId]</v>
      </c>
      <c r="D40" s="20" t="str">
        <f>IF(VLOOKUP($C40, Mapping!$C$2:$L$181, 2, FALSE) = 0, "", VLOOKUP($C40, Mapping!$C$2:$L$181, 2, FALSE))</f>
        <v/>
      </c>
      <c r="E40" s="20" t="str">
        <f>IF(VLOOKUP($C40, Mapping!$C$2:$L$181, 3, FALSE) = 0, "", VLOOKUP($C40, Mapping!$C$2:$L$181, 3, FALSE))</f>
        <v>SDR.CARD_ID</v>
      </c>
      <c r="F40" s="20" t="str">
        <f>IF(VLOOKUP($C40, Mapping!$C$2:$L$181, 4, FALSE) = 0, "", VLOOKUP($C40, Mapping!$C$2:$L$181, 4, FALSE))</f>
        <v>Probe Card</v>
      </c>
      <c r="G40" s="20" t="str">
        <f>IF(VLOOKUP($C40, Mapping!$C$2:$L$181, 6, FALSE) = 0, "", VLOOKUP($C40, Mapping!$C$2:$L$181, 6, FALSE))</f>
        <v>vDbEquip3</v>
      </c>
      <c r="H40" s="2" t="str">
        <f>IF(VLOOKUP($C40, Mapping!$C$2:$L$181, 7, FALSE) = 0, "", VLOOKUP($C40, Mapping!$C$2:$L$181, 7, FALSE))</f>
        <v>Equip[3]</v>
      </c>
      <c r="I40" s="30" t="str">
        <f>IF(VLOOKUP($C40, Mapping!$C$2:$L$181, 8, FALSE) = 0, "", VLOOKUP($C40, Mapping!$C$2:$L$181, 8, FALSE))</f>
        <v/>
      </c>
      <c r="J40" s="30" t="str">
        <f>IF(VLOOKUP($C40, Mapping!$C$2:$L$181, 9, FALSE) = 0, "", VLOOKUP($C40, Mapping!$C$2:$L$181, 9, FALSE))</f>
        <v/>
      </c>
      <c r="K40" s="21" t="str">
        <f>IF(VLOOKUP($C40, Mapping!$C$2:$L$181, 10, FALSE) = 0, "", VLOOKUP($C40, Mapping!$C$2:$L$181, 10, FALSE))</f>
        <v/>
      </c>
    </row>
    <row r="41" spans="1:11" x14ac:dyDescent="0.25">
      <c r="A41" s="11"/>
      <c r="B41" s="3" t="s">
        <v>110</v>
      </c>
      <c r="C41" s="20" t="str">
        <f t="shared" si="2"/>
        <v>[Probe Card Type]</v>
      </c>
      <c r="D41" s="20" t="str">
        <f>IF(VLOOKUP($C41, Mapping!$C$2:$L$181, 2, FALSE) = 0, "", VLOOKUP($C41, Mapping!$C$2:$L$181, 2, FALSE))</f>
        <v/>
      </c>
      <c r="E41" s="20" t="str">
        <f>IF(VLOOKUP($C41, Mapping!$C$2:$L$181, 3, FALSE) = 0, "", VLOOKUP($C41, Mapping!$C$2:$L$181, 3, FALSE))</f>
        <v>SDR.CARD_TYP</v>
      </c>
      <c r="F41" s="20" t="str">
        <f>IF(VLOOKUP($C41, Mapping!$C$2:$L$181, 4, FALSE) = 0, "", VLOOKUP($C41, Mapping!$C$2:$L$181, 4, FALSE))</f>
        <v>Probe Card Type</v>
      </c>
      <c r="G41" s="20" t="str">
        <f>IF(VLOOKUP($C41, Mapping!$C$2:$L$181, 6, FALSE) = 0, "", VLOOKUP($C41, Mapping!$C$2:$L$181, 6, FALSE))</f>
        <v/>
      </c>
      <c r="H41" s="2" t="str">
        <f>IF(VLOOKUP($C41, Mapping!$C$2:$L$181, 7, FALSE) = 0, "", VLOOKUP($C41, Mapping!$C$2:$L$181, 7, FALSE))</f>
        <v>Equip[3] Type</v>
      </c>
      <c r="I41" s="30" t="str">
        <f>IF(VLOOKUP($C41, Mapping!$C$2:$L$181, 8, FALSE) = 0, "", VLOOKUP($C41, Mapping!$C$2:$L$181, 8, FALSE))</f>
        <v/>
      </c>
      <c r="J41" s="30" t="str">
        <f>IF(VLOOKUP($C41, Mapping!$C$2:$L$181, 9, FALSE) = 0, "", VLOOKUP($C41, Mapping!$C$2:$L$181, 9, FALSE))</f>
        <v/>
      </c>
      <c r="K41" s="21" t="str">
        <f>IF(VLOOKUP($C41, Mapping!$C$2:$L$181, 10, FALSE) = 0, "", VLOOKUP($C41, Mapping!$C$2:$L$181, 10, FALSE))</f>
        <v/>
      </c>
    </row>
    <row r="42" spans="1:11" x14ac:dyDescent="0.25">
      <c r="A42" s="10" t="s">
        <v>432</v>
      </c>
      <c r="B42" s="3" t="s">
        <v>433</v>
      </c>
      <c r="C42" s="20" t="str">
        <f>IF(NOT(ISBLANK(B42)),_xlfn.CONCAT(A42,"[",B42,"]"),"")</f>
        <v>DwPlm[PAL4_CD]</v>
      </c>
      <c r="D42" s="20" t="str">
        <f>IF(VLOOKUP($C42, Mapping!$C$2:$L$181, 2, FALSE) = 0, "", VLOOKUP($C42, Mapping!$C$2:$L$181, 2, FALSE))</f>
        <v>Pti4Pal</v>
      </c>
      <c r="E42" s="20" t="str">
        <f>IF(VLOOKUP($C42, Mapping!$C$2:$L$181, 3, FALSE) = 0, "", VLOOKUP($C42, Mapping!$C$2:$L$181, 3, FALSE))</f>
        <v/>
      </c>
      <c r="F42" s="20" t="str">
        <f>IF(VLOOKUP($C42, Mapping!$C$2:$L$181, 4, FALSE) = 0, "", VLOOKUP($C42, Mapping!$C$2:$L$181, 4, FALSE))</f>
        <v>PTI4/PAL</v>
      </c>
      <c r="G42" s="20" t="str">
        <f>IF(VLOOKUP($C42, Mapping!$C$2:$L$181, 6, FALSE) = 0, "", VLOOKUP($C42, Mapping!$C$2:$L$181, 6, FALSE))</f>
        <v>DbMetaData("PTI4/PAL", vPti4Pal)</v>
      </c>
      <c r="H42" s="2" t="str">
        <f>IF(VLOOKUP($C42, Mapping!$C$2:$L$181, 7, FALSE) = 0, "", VLOOKUP($C42, Mapping!$C$2:$L$181, 7, FALSE))</f>
        <v>op_log linked index 4</v>
      </c>
      <c r="I42" s="30" t="str">
        <f>IF(VLOOKUP($C42, Mapping!$C$2:$L$181, 8, FALSE) = 0, "", VLOOKUP($C42, Mapping!$C$2:$L$181, 8, FALSE))</f>
        <v/>
      </c>
      <c r="J42" s="30" t="str">
        <f>IF(VLOOKUP($C42, Mapping!$C$2:$L$181, 9, FALSE) = 0, "", VLOOKUP($C42, Mapping!$C$2:$L$181, 9, FALSE))</f>
        <v/>
      </c>
      <c r="K42" s="21" t="str">
        <f>IF(VLOOKUP($C42, Mapping!$C$2:$L$181, 10, FALSE) = 0, "", VLOOKUP($C42, Mapping!$C$2:$L$181, 10, FALSE))</f>
        <v>LotG or Agile; Eric</v>
      </c>
    </row>
    <row r="43" spans="1:11" x14ac:dyDescent="0.25">
      <c r="A43" s="1" t="s">
        <v>432</v>
      </c>
      <c r="B43" s="4" t="s">
        <v>437</v>
      </c>
      <c r="C43" s="20" t="str">
        <f t="shared" ref="C43:C44" si="3">IF(NOT(ISBLANK(B43)),_xlfn.CONCAT(A43,"[",B43,"]"),"")</f>
        <v>DwPlm[WFR_FAB_MASK_CONFIG_ID]</v>
      </c>
      <c r="D43" s="20" t="str">
        <f>IF(VLOOKUP($C43, Mapping!$C$2:$L$181, 2, FALSE) = 0, "", VLOOKUP($C43, Mapping!$C$2:$L$181, 2, FALSE))</f>
        <v>MaskSet</v>
      </c>
      <c r="E43" s="20" t="str">
        <f>IF(VLOOKUP($C43, Mapping!$C$2:$L$181, 3, FALSE) = 0, "", VLOOKUP($C43, Mapping!$C$2:$L$181, 3, FALSE))</f>
        <v/>
      </c>
      <c r="F43" s="20" t="str">
        <f>IF(VLOOKUP($C43, Mapping!$C$2:$L$181, 4, FALSE) = 0, "", VLOOKUP($C43, Mapping!$C$2:$L$181, 4, FALSE))</f>
        <v>Mask / Mask Set</v>
      </c>
      <c r="G43" s="20" t="str">
        <f>IF(VLOOKUP($C43, Mapping!$C$2:$L$181, 6, FALSE) = 0, "", VLOOKUP($C43, Mapping!$C$2:$L$181, 6, FALSE))</f>
        <v>DbMetaData("Mask / Mask Set", vMaskMaskSet)</v>
      </c>
      <c r="H43" s="2" t="str">
        <f>IF(VLOOKUP($C43, Mapping!$C$2:$L$181, 7, FALSE) = 0, "", VLOOKUP($C43, Mapping!$C$2:$L$181, 7, FALSE))</f>
        <v>op_log linked index 21</v>
      </c>
      <c r="I43" s="30" t="str">
        <f>IF(VLOOKUP($C43, Mapping!$C$2:$L$181, 8, FALSE) = 0, "", VLOOKUP($C43, Mapping!$C$2:$L$181, 8, FALSE))</f>
        <v/>
      </c>
      <c r="J43" s="30" t="str">
        <f>IF(VLOOKUP($C43, Mapping!$C$2:$L$181, 9, FALSE) = 0, "", VLOOKUP($C43, Mapping!$C$2:$L$181, 9, FALSE))</f>
        <v/>
      </c>
      <c r="K43" s="21" t="str">
        <f>IF(VLOOKUP($C43, Mapping!$C$2:$L$181, 10, FALSE) = 0, "", VLOOKUP($C43, Mapping!$C$2:$L$181, 10, FALSE))</f>
        <v>LotG or Agile; Eric</v>
      </c>
    </row>
    <row r="44" spans="1:11" x14ac:dyDescent="0.25">
      <c r="A44" s="1" t="s">
        <v>432</v>
      </c>
      <c r="B44" s="4" t="s">
        <v>434</v>
      </c>
      <c r="C44" s="20" t="str">
        <f t="shared" si="3"/>
        <v>DwPlm[WFR_TECH_VARIANT_ID]</v>
      </c>
      <c r="D44" s="20" t="str">
        <f>IF(VLOOKUP($C44, Mapping!$C$2:$L$181, 2, FALSE) = 0, "", VLOOKUP($C44, Mapping!$C$2:$L$181, 2, FALSE))</f>
        <v>ProcessFamily</v>
      </c>
      <c r="E44" s="20" t="str">
        <f>IF(VLOOKUP($C44, Mapping!$C$2:$L$181, 3, FALSE) = 0, "", VLOOKUP($C44, Mapping!$C$2:$L$181, 3, FALSE))</f>
        <v/>
      </c>
      <c r="F44" s="20" t="str">
        <f>IF(VLOOKUP($C44, Mapping!$C$2:$L$181, 4, FALSE) = 0, "", VLOOKUP($C44, Mapping!$C$2:$L$181, 4, FALSE))</f>
        <v>Process Family</v>
      </c>
      <c r="G44" s="20" t="str">
        <f>IF(VLOOKUP($C44, Mapping!$C$2:$L$181, 6, FALSE) = 0, "", VLOOKUP($C44, Mapping!$C$2:$L$181, 6, FALSE))</f>
        <v>DbMetaData("Process Family", vProcessFamily)</v>
      </c>
      <c r="H44" s="2" t="str">
        <f>IF(VLOOKUP($C44, Mapping!$C$2:$L$181, 7, FALSE) = 0, "", VLOOKUP($C44, Mapping!$C$2:$L$181, 7, FALSE))</f>
        <v>op_log linked index 22</v>
      </c>
      <c r="I44" s="30" t="str">
        <f>IF(VLOOKUP($C44, Mapping!$C$2:$L$181, 8, FALSE) = 0, "", VLOOKUP($C44, Mapping!$C$2:$L$181, 8, FALSE))</f>
        <v/>
      </c>
      <c r="J44" s="30" t="str">
        <f>IF(VLOOKUP($C44, Mapping!$C$2:$L$181, 9, FALSE) = 0, "", VLOOKUP($C44, Mapping!$C$2:$L$181, 9, FALSE))</f>
        <v/>
      </c>
      <c r="K44" s="21" t="str">
        <f>IF(VLOOKUP($C44, Mapping!$C$2:$L$181, 10, FALSE) = 0, "", VLOOKUP($C44, Mapping!$C$2:$L$181, 10, FALSE))</f>
        <v>LotG or Agile; Eric</v>
      </c>
    </row>
    <row r="45" spans="1:11" x14ac:dyDescent="0.25">
      <c r="A45" s="11"/>
      <c r="B45" s="4" t="s">
        <v>285</v>
      </c>
      <c r="C45" s="20" t="str">
        <f>IF(NOT(ISBLANK(B45)),_xlfn.CONCAT(A45,"[",B45,"]"),"")</f>
        <v>[Test Head]</v>
      </c>
      <c r="D45" s="20" t="str">
        <f>IF(VLOOKUP($C45, Mapping!$C$2:$L$181, 2, FALSE) = 0, "", VLOOKUP($C45, Mapping!$C$2:$L$181, 2, FALSE))</f>
        <v>TestHead</v>
      </c>
      <c r="E45" s="20" t="str">
        <f>IF(VLOOKUP($C45, Mapping!$C$2:$L$181, 3, FALSE) = 0, "", VLOOKUP($C45, Mapping!$C$2:$L$181, 3, FALSE))</f>
        <v/>
      </c>
      <c r="F45" s="20" t="str">
        <f>IF(VLOOKUP($C45, Mapping!$C$2:$L$181, 4, FALSE) = 0, "", VLOOKUP($C45, Mapping!$C$2:$L$181, 4, FALSE))</f>
        <v>Test Head</v>
      </c>
      <c r="G45" s="20" t="str">
        <f>IF(VLOOKUP($C45, Mapping!$C$2:$L$181, 6, FALSE) = 0, "", VLOOKUP($C45, Mapping!$C$2:$L$181, 6, FALSE))</f>
        <v>DbMetaData("Test Head", vTest Head)</v>
      </c>
      <c r="H45" s="2" t="str">
        <f>IF(VLOOKUP($C45, Mapping!$C$2:$L$181, 7, FALSE) = 0, "", VLOOKUP($C45, Mapping!$C$2:$L$181, 7, FALSE))</f>
        <v>op_log linked index 23</v>
      </c>
      <c r="I45" s="30" t="str">
        <f>IF(VLOOKUP($C45, Mapping!$C$2:$L$181, 8, FALSE) = 0, "", VLOOKUP($C45, Mapping!$C$2:$L$181, 8, FALSE))</f>
        <v/>
      </c>
      <c r="J45" s="30" t="str">
        <f>IF(VLOOKUP($C45, Mapping!$C$2:$L$181, 9, FALSE) = 0, "", VLOOKUP($C45, Mapping!$C$2:$L$181, 9, FALSE))</f>
        <v/>
      </c>
      <c r="K45" s="21" t="str">
        <f>IF(VLOOKUP($C45, Mapping!$C$2:$L$181, 10, FALSE) = 0, "", VLOOKUP($C45, Mapping!$C$2:$L$181, 10, FALSE))</f>
        <v/>
      </c>
    </row>
    <row r="46" spans="1:11" x14ac:dyDescent="0.25">
      <c r="A46" s="1" t="s">
        <v>432</v>
      </c>
      <c r="B46" s="4" t="s">
        <v>435</v>
      </c>
      <c r="C46" s="20" t="str">
        <f t="shared" ref="C46:C47" si="4">IF(NOT(ISBLANK(B46)),_xlfn.CONCAT(A46,"[",B46,"]"),"")</f>
        <v>DwPlm[WFR_FAB_MASK]</v>
      </c>
      <c r="D46" s="20" t="str">
        <f>IF(VLOOKUP($C46, Mapping!$C$2:$L$181, 2, FALSE) = 0, "", VLOOKUP($C46, Mapping!$C$2:$L$181, 2, FALSE))</f>
        <v>ProductCode</v>
      </c>
      <c r="E46" s="20" t="str">
        <f>IF(VLOOKUP($C46, Mapping!$C$2:$L$181, 3, FALSE) = 0, "", VLOOKUP($C46, Mapping!$C$2:$L$181, 3, FALSE))</f>
        <v/>
      </c>
      <c r="F46" s="20" t="str">
        <f>IF(VLOOKUP($C46, Mapping!$C$2:$L$181, 4, FALSE) = 0, "", VLOOKUP($C46, Mapping!$C$2:$L$181, 4, FALSE))</f>
        <v>Product Code</v>
      </c>
      <c r="G46" s="20" t="str">
        <f>IF(VLOOKUP($C46, Mapping!$C$2:$L$181, 6, FALSE) = 0, "", VLOOKUP($C46, Mapping!$C$2:$L$181, 6, FALSE))</f>
        <v>DbMetaData("Product Code", vProductCode)</v>
      </c>
      <c r="H46" s="2" t="str">
        <f>IF(VLOOKUP($C46, Mapping!$C$2:$L$181, 7, FALSE) = 0, "", VLOOKUP($C46, Mapping!$C$2:$L$181, 7, FALSE))</f>
        <v>op_log linked index 24</v>
      </c>
      <c r="I46" s="30" t="str">
        <f>IF(VLOOKUP($C46, Mapping!$C$2:$L$181, 8, FALSE) = 0, "", VLOOKUP($C46, Mapping!$C$2:$L$181, 8, FALSE))</f>
        <v/>
      </c>
      <c r="J46" s="30" t="str">
        <f>IF(VLOOKUP($C46, Mapping!$C$2:$L$181, 9, FALSE) = 0, "", VLOOKUP($C46, Mapping!$C$2:$L$181, 9, FALSE))</f>
        <v/>
      </c>
      <c r="K46" s="21" t="str">
        <f>IF(VLOOKUP($C46, Mapping!$C$2:$L$181, 10, FALSE) = 0, "", VLOOKUP($C46, Mapping!$C$2:$L$181, 10, FALSE))</f>
        <v>LotG or Agile; Firs 4 chars of WFR_FAB_MASK_CONFIG_ID + : + PART_ID</v>
      </c>
    </row>
    <row r="47" spans="1:11" x14ac:dyDescent="0.25">
      <c r="A47" s="11"/>
      <c r="B47" s="4" t="s">
        <v>308</v>
      </c>
      <c r="C47" s="20" t="str">
        <f t="shared" si="4"/>
        <v>[Card Lens Module]</v>
      </c>
      <c r="D47" s="20" t="str">
        <f>IF(VLOOKUP($C47, Mapping!$C$2:$L$181, 2, FALSE) = 0, "", VLOOKUP($C47, Mapping!$C$2:$L$181, 2, FALSE))</f>
        <v/>
      </c>
      <c r="E47" s="20" t="str">
        <f>IF(VLOOKUP($C47, Mapping!$C$2:$L$181, 3, FALSE) = 0, "", VLOOKUP($C47, Mapping!$C$2:$L$181, 3, FALSE))</f>
        <v/>
      </c>
      <c r="F47" s="20" t="str">
        <f>IF(VLOOKUP($C47, Mapping!$C$2:$L$181, 4, FALSE) = 0, "", VLOOKUP($C47, Mapping!$C$2:$L$181, 4, FALSE))</f>
        <v>Card Lens Module</v>
      </c>
      <c r="G47" s="20" t="str">
        <f>IF(VLOOKUP($C47, Mapping!$C$2:$L$181, 6, FALSE) = 0, "", VLOOKUP($C47, Mapping!$C$2:$L$181, 6, FALSE))</f>
        <v>DbMetaData("Card Lens Module", vCardLensModule)</v>
      </c>
      <c r="H47" s="2" t="str">
        <f>IF(VLOOKUP($C47, Mapping!$C$2:$L$181, 7, FALSE) = 0, "", VLOOKUP($C47, Mapping!$C$2:$L$181, 7, FALSE))</f>
        <v>op_log linked index 25</v>
      </c>
      <c r="I47" s="30" t="str">
        <f>IF(VLOOKUP($C47, Mapping!$C$2:$L$181, 8, FALSE) = 0, "", VLOOKUP($C47, Mapping!$C$2:$L$181, 8, FALSE))</f>
        <v/>
      </c>
      <c r="J47" s="30" t="str">
        <f>IF(VLOOKUP($C47, Mapping!$C$2:$L$181, 9, FALSE) = 0, "", VLOOKUP($C47, Mapping!$C$2:$L$181, 9, FALSE))</f>
        <v/>
      </c>
      <c r="K47" s="21" t="str">
        <f>IF(VLOOKUP($C47, Mapping!$C$2:$L$181, 10, FALSE) = 0, "", VLOOKUP($C47, Mapping!$C$2:$L$181, 10, FALSE))</f>
        <v>NULL, ISG specific</v>
      </c>
    </row>
    <row r="48" spans="1:11" x14ac:dyDescent="0.25">
      <c r="A48" s="11"/>
      <c r="B48" s="4" t="s">
        <v>309</v>
      </c>
      <c r="C48" s="20" t="str">
        <f>IF(NOT(ISBLANK(B48)),_xlfn.CONCAT(A48,"[",B48,"]"),"")</f>
        <v>[Subcon Product]</v>
      </c>
      <c r="D48" s="20" t="str">
        <f>IF(VLOOKUP($C48, Mapping!$C$2:$L$181, 2, FALSE) = 0, "", VLOOKUP($C48, Mapping!$C$2:$L$181, 2, FALSE))</f>
        <v>SubconProduct</v>
      </c>
      <c r="E48" s="20" t="str">
        <f>IF(VLOOKUP($C48, Mapping!$C$2:$L$181, 3, FALSE) = 0, "", VLOOKUP($C48, Mapping!$C$2:$L$181, 3, FALSE))</f>
        <v/>
      </c>
      <c r="F48" s="20" t="str">
        <f>IF(VLOOKUP($C48, Mapping!$C$2:$L$181, 4, FALSE) = 0, "", VLOOKUP($C48, Mapping!$C$2:$L$181, 4, FALSE))</f>
        <v>Subcon Product</v>
      </c>
      <c r="G48" s="20" t="str">
        <f>IF(VLOOKUP($C48, Mapping!$C$2:$L$181, 6, FALSE) = 0, "", VLOOKUP($C48, Mapping!$C$2:$L$181, 6, FALSE))</f>
        <v>DbMetaData("Subcon Product", vSubconProduct)</v>
      </c>
      <c r="H48" s="2" t="str">
        <f>IF(VLOOKUP($C48, Mapping!$C$2:$L$181, 7, FALSE) = 0, "", VLOOKUP($C48, Mapping!$C$2:$L$181, 7, FALSE))</f>
        <v>op_log linked index 27</v>
      </c>
      <c r="I48" s="30" t="str">
        <f>IF(VLOOKUP($C48, Mapping!$C$2:$L$181, 8, FALSE) = 0, "", VLOOKUP($C48, Mapping!$C$2:$L$181, 8, FALSE))</f>
        <v/>
      </c>
      <c r="J48" s="30" t="str">
        <f>IF(VLOOKUP($C48, Mapping!$C$2:$L$181, 9, FALSE) = 0, "", VLOOKUP($C48, Mapping!$C$2:$L$181, 9, FALSE))</f>
        <v/>
      </c>
      <c r="K48" s="21" t="str">
        <f>IF(VLOOKUP($C48, Mapping!$C$2:$L$181, 10, FALSE) = 0, "", VLOOKUP($C48, Mapping!$C$2:$L$181, 10, FALSE))</f>
        <v/>
      </c>
    </row>
    <row r="49" spans="1:11" x14ac:dyDescent="0.25">
      <c r="A49" s="11"/>
      <c r="B49" s="4" t="s">
        <v>199</v>
      </c>
      <c r="C49" s="20" t="str">
        <f t="shared" ref="C49:C50" si="5">IF(NOT(ISBLANK(B49)),_xlfn.CONCAT(A49,"[",B49,"]"),"")</f>
        <v>[Serial/Sequence Number]</v>
      </c>
      <c r="D49" s="20" t="str">
        <f>IF(VLOOKUP($C49, Mapping!$C$2:$L$181, 2, FALSE) = 0, "", VLOOKUP($C49, Mapping!$C$2:$L$181, 2, FALSE))</f>
        <v/>
      </c>
      <c r="E49" s="20" t="str">
        <f>IF(VLOOKUP($C49, Mapping!$C$2:$L$181, 3, FALSE) = 0, "", VLOOKUP($C49, Mapping!$C$2:$L$181, 3, FALSE))</f>
        <v>PRR</v>
      </c>
      <c r="F49" s="20" t="str">
        <f>IF(VLOOKUP($C49, Mapping!$C$2:$L$181, 4, FALSE) = 0, "", VLOOKUP($C49, Mapping!$C$2:$L$181, 4, FALSE))</f>
        <v>Serial/Sequence Number</v>
      </c>
      <c r="G49" s="20" t="str">
        <f>IF(VLOOKUP($C49, Mapping!$C$2:$L$181, 6, FALSE) = 0, "", VLOOKUP($C49, Mapping!$C$2:$L$181, 6, FALSE))</f>
        <v>die_index</v>
      </c>
      <c r="H49" s="2" t="str">
        <f>IF(VLOOKUP($C49, Mapping!$C$2:$L$181, 7, FALSE) = 0, "", VLOOKUP($C49, Mapping!$C$2:$L$181, 7, FALSE))</f>
        <v>res index</v>
      </c>
      <c r="I49" s="30" t="str">
        <f>IF(VLOOKUP($C49, Mapping!$C$2:$L$181, 8, FALSE) = 0, "", VLOOKUP($C49, Mapping!$C$2:$L$181, 8, FALSE))</f>
        <v>key</v>
      </c>
      <c r="J49" s="30" t="str">
        <f>IF(VLOOKUP($C49, Mapping!$C$2:$L$181, 9, FALSE) = 0, "", VLOOKUP($C49, Mapping!$C$2:$L$181, 9, FALSE))</f>
        <v>Integer</v>
      </c>
      <c r="K49" s="21" t="str">
        <f>IF(VLOOKUP($C49, Mapping!$C$2:$L$181, 10, FALSE) = 0, "", VLOOKUP($C49, Mapping!$C$2:$L$181, 10, FALSE))</f>
        <v/>
      </c>
    </row>
    <row r="50" spans="1:11" x14ac:dyDescent="0.25">
      <c r="A50" s="11"/>
      <c r="B50" s="3" t="s">
        <v>200</v>
      </c>
      <c r="C50" s="20" t="str">
        <f t="shared" si="5"/>
        <v>[ECID]</v>
      </c>
      <c r="D50" s="20" t="str">
        <f>IF(VLOOKUP($C50, Mapping!$C$2:$L$181, 2, FALSE) = 0, "", VLOOKUP($C50, Mapping!$C$2:$L$181, 2, FALSE))</f>
        <v/>
      </c>
      <c r="E50" s="20" t="str">
        <f>IF(VLOOKUP($C50, Mapping!$C$2:$L$181, 3, FALSE) = 0, "", VLOOKUP($C50, Mapping!$C$2:$L$181, 3, FALSE))</f>
        <v/>
      </c>
      <c r="F50" s="20" t="str">
        <f>IF(VLOOKUP($C50, Mapping!$C$2:$L$181, 4, FALSE) = 0, "", VLOOKUP($C50, Mapping!$C$2:$L$181, 4, FALSE))</f>
        <v>ECID</v>
      </c>
      <c r="G50" s="20" t="str">
        <f>IF(VLOOKUP($C50, Mapping!$C$2:$L$181, 6, FALSE) = 0, "", VLOOKUP($C50, Mapping!$C$2:$L$181, 6, FALSE))</f>
        <v>ecid</v>
      </c>
      <c r="H50" s="2" t="str">
        <f>IF(VLOOKUP($C50, Mapping!$C$2:$L$181, 7, FALSE) = 0, "", VLOOKUP($C50, Mapping!$C$2:$L$181, 7, FALSE))</f>
        <v>res index</v>
      </c>
      <c r="I50" s="30" t="str">
        <f>IF(VLOOKUP($C50, Mapping!$C$2:$L$181, 8, FALSE) = 0, "", VLOOKUP($C50, Mapping!$C$2:$L$181, 8, FALSE))</f>
        <v>key</v>
      </c>
      <c r="J50" s="30" t="str">
        <f>IF(VLOOKUP($C50, Mapping!$C$2:$L$181, 9, FALSE) = 0, "", VLOOKUP($C50, Mapping!$C$2:$L$181, 9, FALSE))</f>
        <v>String</v>
      </c>
      <c r="K50" s="21" t="str">
        <f>IF(VLOOKUP($C50, Mapping!$C$2:$L$181, 10, FALSE) = 0, "", VLOOKUP($C50, Mapping!$C$2:$L$181, 10, FALSE))</f>
        <v>If no die ID or ECID present in data file, create a "virtual ID" uniquely identifying the die/PART.
Probe or wafer/frame/ring-level final test:  "lotId_WaferNumber:x#:y#"; "LD595A_12:x45:y-6"
Module or sub assembly level test: "lot-id:module-id" (this scenario is unlikely because the unique module ID will be passed into the IFF as a unique serial #/ECID)
Singulated final test: "lot-id:serial-number"
Call DbDieIdIndex() to establish to activate DLT</v>
      </c>
    </row>
    <row r="51" spans="1:11" x14ac:dyDescent="0.25">
      <c r="A51" s="11"/>
      <c r="B51" s="4" t="s">
        <v>201</v>
      </c>
      <c r="C51" s="20" t="str">
        <f>IF(NOT(ISBLANK(B51)),_xlfn.CONCAT(A51,"[",B51,"]"),"")</f>
        <v>[Part Pass/Fail Flag (from tester)]</v>
      </c>
      <c r="D51" s="20" t="str">
        <f>IF(VLOOKUP($C51, Mapping!$C$2:$L$181, 2, FALSE) = 0, "", VLOOKUP($C51, Mapping!$C$2:$L$181, 2, FALSE))</f>
        <v/>
      </c>
      <c r="E51" s="20" t="str">
        <f>IF(VLOOKUP($C51, Mapping!$C$2:$L$181, 3, FALSE) = 0, "", VLOOKUP($C51, Mapping!$C$2:$L$181, 3, FALSE))</f>
        <v/>
      </c>
      <c r="F51" s="20" t="str">
        <f>IF(VLOOKUP($C51, Mapping!$C$2:$L$181, 4, FALSE) = 0, "", VLOOKUP($C51, Mapping!$C$2:$L$181, 4, FALSE))</f>
        <v>Part Pass/Fail Flag (from tester)</v>
      </c>
      <c r="G51" s="20" t="str">
        <f>IF(VLOOKUP($C51, Mapping!$C$2:$L$181, 6, FALSE) = 0, "", VLOOKUP($C51, Mapping!$C$2:$L$181, 6, FALSE))</f>
        <v>pass_or_fail</v>
      </c>
      <c r="H51" s="2" t="str">
        <f>IF(VLOOKUP($C51, Mapping!$C$2:$L$181, 7, FALSE) = 0, "", VLOOKUP($C51, Mapping!$C$2:$L$181, 7, FALSE))</f>
        <v>res index</v>
      </c>
      <c r="I51" s="30" t="str">
        <f>IF(VLOOKUP($C51, Mapping!$C$2:$L$181, 8, FALSE) = 0, "", VLOOKUP($C51, Mapping!$C$2:$L$181, 8, FALSE))</f>
        <v>non-key</v>
      </c>
      <c r="J51" s="30" t="str">
        <f>IF(VLOOKUP($C51, Mapping!$C$2:$L$181, 9, FALSE) = 0, "", VLOOKUP($C51, Mapping!$C$2:$L$181, 9, FALSE))</f>
        <v>String</v>
      </c>
      <c r="K51" s="21" t="str">
        <f>IF(VLOOKUP($C51, Mapping!$C$2:$L$181, 10, FALSE) = 0, "", VLOOKUP($C51, Mapping!$C$2:$L$181, 10, FALSE))</f>
        <v>Bin Pass/Fail Flag</v>
      </c>
    </row>
    <row r="52" spans="1:11" x14ac:dyDescent="0.25">
      <c r="A52" s="11"/>
      <c r="B52" s="4" t="s">
        <v>204</v>
      </c>
      <c r="C52" s="20" t="str">
        <f t="shared" ref="C52:C60" si="6">IF(NOT(ISBLANK(B52)),_xlfn.CONCAT(A52,"[",B52,"]"),"")</f>
        <v>[Test Execution Time]</v>
      </c>
      <c r="D52" s="20" t="str">
        <f>IF(VLOOKUP($C52, Mapping!$C$2:$L$181, 2, FALSE) = 0, "", VLOOKUP($C52, Mapping!$C$2:$L$181, 2, FALSE))</f>
        <v/>
      </c>
      <c r="E52" s="20" t="str">
        <f>IF(VLOOKUP($C52, Mapping!$C$2:$L$181, 3, FALSE) = 0, "", VLOOKUP($C52, Mapping!$C$2:$L$181, 3, FALSE))</f>
        <v>PRR.TEST_T</v>
      </c>
      <c r="F52" s="20" t="str">
        <f>IF(VLOOKUP($C52, Mapping!$C$2:$L$181, 4, FALSE) = 0, "", VLOOKUP($C52, Mapping!$C$2:$L$181, 4, FALSE))</f>
        <v>Test Execution Time</v>
      </c>
      <c r="G52" s="20" t="str">
        <f>IF(VLOOKUP($C52, Mapping!$C$2:$L$181, 6, FALSE) = 0, "", VLOOKUP($C52, Mapping!$C$2:$L$181, 6, FALSE))</f>
        <v/>
      </c>
      <c r="H52" s="2" t="str">
        <f>IF(VLOOKUP($C52, Mapping!$C$2:$L$181, 7, FALSE) = 0, "", VLOOKUP($C52, Mapping!$C$2:$L$181, 7, FALSE))</f>
        <v>parameter</v>
      </c>
      <c r="I52" s="30" t="str">
        <f>IF(VLOOKUP($C52, Mapping!$C$2:$L$181, 8, FALSE) = 0, "", VLOOKUP($C52, Mapping!$C$2:$L$181, 8, FALSE))</f>
        <v/>
      </c>
      <c r="J52" s="30" t="str">
        <f>IF(VLOOKUP($C52, Mapping!$C$2:$L$181, 9, FALSE) = 0, "", VLOOKUP($C52, Mapping!$C$2:$L$181, 9, FALSE))</f>
        <v/>
      </c>
      <c r="K52" s="21" t="str">
        <f>IF(VLOOKUP($C52, Mapping!$C$2:$L$181, 10, FALSE) = 0, "", VLOOKUP($C52, Mapping!$C$2:$L$181, 10, FALSE))</f>
        <v>Set To -1</v>
      </c>
    </row>
    <row r="53" spans="1:11" x14ac:dyDescent="0.25">
      <c r="A53" s="11"/>
      <c r="B53" s="4" t="s">
        <v>206</v>
      </c>
      <c r="C53" s="20" t="str">
        <f t="shared" si="6"/>
        <v>[BinDesc]</v>
      </c>
      <c r="D53" s="20" t="str">
        <f>IF(VLOOKUP($C53, Mapping!$C$2:$L$181, 2, FALSE) = 0, "", VLOOKUP($C53, Mapping!$C$2:$L$181, 2, FALSE))</f>
        <v/>
      </c>
      <c r="E53" s="20" t="str">
        <f>IF(VLOOKUP($C53, Mapping!$C$2:$L$181, 3, FALSE) = 0, "", VLOOKUP($C53, Mapping!$C$2:$L$181, 3, FALSE))</f>
        <v>SBR.BIN_NAME</v>
      </c>
      <c r="F53" s="20" t="str">
        <f>IF(VLOOKUP($C53, Mapping!$C$2:$L$181, 4, FALSE) = 0, "", VLOOKUP($C53, Mapping!$C$2:$L$181, 4, FALSE))</f>
        <v>BinDesc</v>
      </c>
      <c r="G53" s="20" t="str">
        <f>IF(VLOOKUP($C53, Mapping!$C$2:$L$181, 6, FALSE) = 0, "", VLOOKUP($C53, Mapping!$C$2:$L$181, 6, FALSE))</f>
        <v>bindesc</v>
      </c>
      <c r="H53" s="2" t="str">
        <f>IF(VLOOKUP($C53, Mapping!$C$2:$L$181, 7, FALSE) = 0, "", VLOOKUP($C53, Mapping!$C$2:$L$181, 7, FALSE))</f>
        <v>res index</v>
      </c>
      <c r="I53" s="30" t="str">
        <f>IF(VLOOKUP($C53, Mapping!$C$2:$L$181, 8, FALSE) = 0, "", VLOOKUP($C53, Mapping!$C$2:$L$181, 8, FALSE))</f>
        <v>non-key</v>
      </c>
      <c r="J53" s="30" t="str">
        <f>IF(VLOOKUP($C53, Mapping!$C$2:$L$181, 9, FALSE) = 0, "", VLOOKUP($C53, Mapping!$C$2:$L$181, 9, FALSE))</f>
        <v>String</v>
      </c>
      <c r="K53" s="21" t="str">
        <f>IF(VLOOKUP($C53, Mapping!$C$2:$L$181, 10, FALSE) = 0, "", VLOOKUP($C53, Mapping!$C$2:$L$181, 10, FALSE))</f>
        <v/>
      </c>
    </row>
    <row r="54" spans="1:11" x14ac:dyDescent="0.25">
      <c r="A54" s="11"/>
      <c r="B54" s="1" t="s">
        <v>315</v>
      </c>
      <c r="C54" s="20" t="str">
        <f t="shared" si="6"/>
        <v>[orig_x]</v>
      </c>
      <c r="D54" s="20" t="str">
        <f>IF(VLOOKUP($C54, Mapping!$C$2:$L$181, 2, FALSE) = 0, "", VLOOKUP($C54, Mapping!$C$2:$L$181, 2, FALSE))</f>
        <v/>
      </c>
      <c r="E54" s="20" t="str">
        <f>IF(VLOOKUP($C54, Mapping!$C$2:$L$181, 3, FALSE) = 0, "", VLOOKUP($C54, Mapping!$C$2:$L$181, 3, FALSE))</f>
        <v/>
      </c>
      <c r="F54" s="20" t="str">
        <f>IF(VLOOKUP($C54, Mapping!$C$2:$L$181, 4, FALSE) = 0, "", VLOOKUP($C54, Mapping!$C$2:$L$181, 4, FALSE))</f>
        <v>orig_x</v>
      </c>
      <c r="G54" s="20" t="str">
        <f>IF(VLOOKUP($C54, Mapping!$C$2:$L$181, 6, FALSE) = 0, "", VLOOKUP($C54, Mapping!$C$2:$L$181, 6, FALSE))</f>
        <v>orig_x</v>
      </c>
      <c r="H54" s="2" t="str">
        <f>IF(VLOOKUP($C54, Mapping!$C$2:$L$181, 7, FALSE) = 0, "", VLOOKUP($C54, Mapping!$C$2:$L$181, 7, FALSE))</f>
        <v>res index</v>
      </c>
      <c r="I54" s="30" t="str">
        <f>IF(VLOOKUP($C54, Mapping!$C$2:$L$181, 8, FALSE) = 0, "", VLOOKUP($C54, Mapping!$C$2:$L$181, 8, FALSE))</f>
        <v>non-key</v>
      </c>
      <c r="J54" s="30" t="str">
        <f>IF(VLOOKUP($C54, Mapping!$C$2:$L$181, 9, FALSE) = 0, "", VLOOKUP($C54, Mapping!$C$2:$L$181, 9, FALSE))</f>
        <v>Integer</v>
      </c>
      <c r="K54" s="21" t="str">
        <f>IF(VLOOKUP($C54, Mapping!$C$2:$L$181, 10, FALSE) = 0, "", VLOOKUP($C54, Mapping!$C$2:$L$181, 10, FALSE))</f>
        <v>Same as die_x, die_y, do NOT call DbDieXYIndexes for these.  Used to retain original X,Y after normalization.</v>
      </c>
    </row>
    <row r="55" spans="1:11" x14ac:dyDescent="0.25">
      <c r="A55" s="11"/>
      <c r="B55" s="1" t="s">
        <v>316</v>
      </c>
      <c r="C55" s="20" t="str">
        <f t="shared" si="6"/>
        <v>[orig_y]</v>
      </c>
      <c r="D55" s="20" t="str">
        <f>IF(VLOOKUP($C55, Mapping!$C$2:$L$181, 2, FALSE) = 0, "", VLOOKUP($C55, Mapping!$C$2:$L$181, 2, FALSE))</f>
        <v/>
      </c>
      <c r="E55" s="20" t="str">
        <f>IF(VLOOKUP($C55, Mapping!$C$2:$L$181, 3, FALSE) = 0, "", VLOOKUP($C55, Mapping!$C$2:$L$181, 3, FALSE))</f>
        <v/>
      </c>
      <c r="F55" s="20" t="str">
        <f>IF(VLOOKUP($C55, Mapping!$C$2:$L$181, 4, FALSE) = 0, "", VLOOKUP($C55, Mapping!$C$2:$L$181, 4, FALSE))</f>
        <v>orig_y</v>
      </c>
      <c r="G55" s="20" t="str">
        <f>IF(VLOOKUP($C55, Mapping!$C$2:$L$181, 6, FALSE) = 0, "", VLOOKUP($C55, Mapping!$C$2:$L$181, 6, FALSE))</f>
        <v>orig_y</v>
      </c>
      <c r="H55" s="2" t="str">
        <f>IF(VLOOKUP($C55, Mapping!$C$2:$L$181, 7, FALSE) = 0, "", VLOOKUP($C55, Mapping!$C$2:$L$181, 7, FALSE))</f>
        <v>res index</v>
      </c>
      <c r="I55" s="30" t="str">
        <f>IF(VLOOKUP($C55, Mapping!$C$2:$L$181, 8, FALSE) = 0, "", VLOOKUP($C55, Mapping!$C$2:$L$181, 8, FALSE))</f>
        <v>non-key</v>
      </c>
      <c r="J55" s="30" t="str">
        <f>IF(VLOOKUP($C55, Mapping!$C$2:$L$181, 9, FALSE) = 0, "", VLOOKUP($C55, Mapping!$C$2:$L$181, 9, FALSE))</f>
        <v>Integer</v>
      </c>
      <c r="K55" s="21" t="str">
        <f>IF(VLOOKUP($C55, Mapping!$C$2:$L$181, 10, FALSE) = 0, "", VLOOKUP($C55, Mapping!$C$2:$L$181, 10, FALSE))</f>
        <v>Same as die_x, die_y, do NOT call DbDieXYIndexes for these.  Used to retain original X,Y after normalization.</v>
      </c>
    </row>
    <row r="56" spans="1:11" x14ac:dyDescent="0.25">
      <c r="A56" s="11"/>
      <c r="B56" s="1" t="s">
        <v>317</v>
      </c>
      <c r="C56" s="20" t="str">
        <f t="shared" si="6"/>
        <v>[reticle_x]</v>
      </c>
      <c r="D56" s="20" t="str">
        <f>IF(VLOOKUP($C56, Mapping!$C$2:$L$181, 2, FALSE) = 0, "", VLOOKUP($C56, Mapping!$C$2:$L$181, 2, FALSE))</f>
        <v/>
      </c>
      <c r="E56" s="20" t="str">
        <f>IF(VLOOKUP($C56, Mapping!$C$2:$L$181, 3, FALSE) = 0, "", VLOOKUP($C56, Mapping!$C$2:$L$181, 3, FALSE))</f>
        <v/>
      </c>
      <c r="F56" s="20" t="str">
        <f>IF(VLOOKUP($C56, Mapping!$C$2:$L$181, 4, FALSE) = 0, "", VLOOKUP($C56, Mapping!$C$2:$L$181, 4, FALSE))</f>
        <v>reticle_x</v>
      </c>
      <c r="G56" s="20" t="str">
        <f>IF(VLOOKUP($C56, Mapping!$C$2:$L$181, 6, FALSE) = 0, "", VLOOKUP($C56, Mapping!$C$2:$L$181, 6, FALSE))</f>
        <v>reticle_x</v>
      </c>
      <c r="H56" s="2" t="str">
        <f>IF(VLOOKUP($C56, Mapping!$C$2:$L$181, 7, FALSE) = 0, "", VLOOKUP($C56, Mapping!$C$2:$L$181, 7, FALSE))</f>
        <v>res index</v>
      </c>
      <c r="I56" s="30" t="str">
        <f>IF(VLOOKUP($C56, Mapping!$C$2:$L$181, 8, FALSE) = 0, "", VLOOKUP($C56, Mapping!$C$2:$L$181, 8, FALSE))</f>
        <v>non-key</v>
      </c>
      <c r="J56" s="30" t="str">
        <f>IF(VLOOKUP($C56, Mapping!$C$2:$L$181, 9, FALSE) = 0, "", VLOOKUP($C56, Mapping!$C$2:$L$181, 9, FALSE))</f>
        <v>Integer</v>
      </c>
      <c r="K56" s="21" t="str">
        <f>IF(VLOOKUP($C56, Mapping!$C$2:$L$181, 10, FALSE) = 0, "", VLOOKUP($C56, Mapping!$C$2:$L$181, 10, FALSE))</f>
        <v>Set to -1 by default if intra-reticle coordinates not available.</v>
      </c>
    </row>
    <row r="57" spans="1:11" x14ac:dyDescent="0.25">
      <c r="A57" s="11"/>
      <c r="B57" s="4" t="s">
        <v>318</v>
      </c>
      <c r="C57" s="20" t="str">
        <f t="shared" si="6"/>
        <v>[recitcle_y]</v>
      </c>
      <c r="D57" s="20" t="str">
        <f>IF(VLOOKUP($C57, Mapping!$C$2:$L$181, 2, FALSE) = 0, "", VLOOKUP($C57, Mapping!$C$2:$L$181, 2, FALSE))</f>
        <v/>
      </c>
      <c r="E57" s="20" t="str">
        <f>IF(VLOOKUP($C57, Mapping!$C$2:$L$181, 3, FALSE) = 0, "", VLOOKUP($C57, Mapping!$C$2:$L$181, 3, FALSE))</f>
        <v/>
      </c>
      <c r="F57" s="20" t="str">
        <f>IF(VLOOKUP($C57, Mapping!$C$2:$L$181, 4, FALSE) = 0, "", VLOOKUP($C57, Mapping!$C$2:$L$181, 4, FALSE))</f>
        <v>recitcle_y</v>
      </c>
      <c r="G57" s="20" t="str">
        <f>IF(VLOOKUP($C57, Mapping!$C$2:$L$181, 6, FALSE) = 0, "", VLOOKUP($C57, Mapping!$C$2:$L$181, 6, FALSE))</f>
        <v>recitcle_y</v>
      </c>
      <c r="H57" s="2" t="str">
        <f>IF(VLOOKUP($C57, Mapping!$C$2:$L$181, 7, FALSE) = 0, "", VLOOKUP($C57, Mapping!$C$2:$L$181, 7, FALSE))</f>
        <v>res index</v>
      </c>
      <c r="I57" s="30" t="str">
        <f>IF(VLOOKUP($C57, Mapping!$C$2:$L$181, 8, FALSE) = 0, "", VLOOKUP($C57, Mapping!$C$2:$L$181, 8, FALSE))</f>
        <v>non-key</v>
      </c>
      <c r="J57" s="30" t="str">
        <f>IF(VLOOKUP($C57, Mapping!$C$2:$L$181, 9, FALSE) = 0, "", VLOOKUP($C57, Mapping!$C$2:$L$181, 9, FALSE))</f>
        <v>Integer</v>
      </c>
      <c r="K57" s="21" t="str">
        <f>IF(VLOOKUP($C57, Mapping!$C$2:$L$181, 10, FALSE) = 0, "", VLOOKUP($C57, Mapping!$C$2:$L$181, 10, FALSE))</f>
        <v>Set to -1 by default if intra-reticle coordinates not available.</v>
      </c>
    </row>
    <row r="58" spans="1:11" x14ac:dyDescent="0.25">
      <c r="A58" s="11"/>
      <c r="B58" s="4" t="s">
        <v>331</v>
      </c>
      <c r="C58" s="20" t="str">
        <f t="shared" si="6"/>
        <v>[Test site ID]</v>
      </c>
      <c r="D58" s="20" t="str">
        <f>IF(VLOOKUP($C58, Mapping!$C$2:$L$181, 2, FALSE) = 0, "", VLOOKUP($C58, Mapping!$C$2:$L$181, 2, FALSE))</f>
        <v/>
      </c>
      <c r="E58" s="20" t="str">
        <f>IF(VLOOKUP($C58, Mapping!$C$2:$L$181, 3, FALSE) = 0, "", VLOOKUP($C58, Mapping!$C$2:$L$181, 3, FALSE))</f>
        <v>PRR.SITE_NUM</v>
      </c>
      <c r="F58" s="20" t="str">
        <f>IF(VLOOKUP($C58, Mapping!$C$2:$L$181, 4, FALSE) = 0, "", VLOOKUP($C58, Mapping!$C$2:$L$181, 4, FALSE))</f>
        <v>Test site ID</v>
      </c>
      <c r="G58" s="20" t="str">
        <f>IF(VLOOKUP($C58, Mapping!$C$2:$L$181, 6, FALSE) = 0, "", VLOOKUP($C58, Mapping!$C$2:$L$181, 6, FALSE))</f>
        <v>test_site</v>
      </c>
      <c r="H58" s="2" t="str">
        <f>IF(VLOOKUP($C58, Mapping!$C$2:$L$181, 7, FALSE) = 0, "", VLOOKUP($C58, Mapping!$C$2:$L$181, 7, FALSE))</f>
        <v>res index</v>
      </c>
      <c r="I58" s="30" t="str">
        <f>IF(VLOOKUP($C58, Mapping!$C$2:$L$181, 8, FALSE) = 0, "", VLOOKUP($C58, Mapping!$C$2:$L$181, 8, FALSE))</f>
        <v>non-key</v>
      </c>
      <c r="J58" s="30" t="str">
        <f>IF(VLOOKUP($C58, Mapping!$C$2:$L$181, 9, FALSE) = 0, "", VLOOKUP($C58, Mapping!$C$2:$L$181, 9, FALSE))</f>
        <v>Integer</v>
      </c>
      <c r="K58" s="21" t="str">
        <f>IF(VLOOKUP($C58, Mapping!$C$2:$L$181, 10, FALSE) = 0, "", VLOOKUP($C58, Mapping!$C$2:$L$181, 10, FALSE))</f>
        <v/>
      </c>
    </row>
    <row r="59" spans="1:11" x14ac:dyDescent="0.25">
      <c r="A59" s="11"/>
      <c r="B59" s="4" t="s">
        <v>333</v>
      </c>
      <c r="C59" s="20" t="str">
        <f t="shared" si="6"/>
        <v>[Touchdown number]</v>
      </c>
      <c r="D59" s="20" t="str">
        <f>IF(VLOOKUP($C59, Mapping!$C$2:$L$181, 2, FALSE) = 0, "", VLOOKUP($C59, Mapping!$C$2:$L$181, 2, FALSE))</f>
        <v/>
      </c>
      <c r="E59" s="20" t="str">
        <f>IF(VLOOKUP($C59, Mapping!$C$2:$L$181, 3, FALSE) = 0, "", VLOOKUP($C59, Mapping!$C$2:$L$181, 3, FALSE))</f>
        <v/>
      </c>
      <c r="F59" s="20" t="str">
        <f>IF(VLOOKUP($C59, Mapping!$C$2:$L$181, 4, FALSE) = 0, "", VLOOKUP($C59, Mapping!$C$2:$L$181, 4, FALSE))</f>
        <v>Touchdown number</v>
      </c>
      <c r="G59" s="20" t="str">
        <f>IF(VLOOKUP($C59, Mapping!$C$2:$L$181, 6, FALSE) = 0, "", VLOOKUP($C59, Mapping!$C$2:$L$181, 6, FALSE))</f>
        <v>touchdown_num</v>
      </c>
      <c r="H59" s="2" t="str">
        <f>IF(VLOOKUP($C59, Mapping!$C$2:$L$181, 7, FALSE) = 0, "", VLOOKUP($C59, Mapping!$C$2:$L$181, 7, FALSE))</f>
        <v>res index</v>
      </c>
      <c r="I59" s="30" t="str">
        <f>IF(VLOOKUP($C59, Mapping!$C$2:$L$181, 8, FALSE) = 0, "", VLOOKUP($C59, Mapping!$C$2:$L$181, 8, FALSE))</f>
        <v>non-key</v>
      </c>
      <c r="J59" s="30" t="str">
        <f>IF(VLOOKUP($C59, Mapping!$C$2:$L$181, 9, FALSE) = 0, "", VLOOKUP($C59, Mapping!$C$2:$L$181, 9, FALSE))</f>
        <v>Integer</v>
      </c>
      <c r="K59" s="21" t="str">
        <f>IF(VLOOKUP($C59, Mapping!$C$2:$L$181, 10, FALSE) = 0, "", VLOOKUP($C59, Mapping!$C$2:$L$181, 10, FALSE))</f>
        <v>Don't have this information</v>
      </c>
    </row>
    <row r="60" spans="1:11" x14ac:dyDescent="0.25">
      <c r="A60" s="11"/>
      <c r="B60" s="3" t="s">
        <v>340</v>
      </c>
      <c r="C60" s="20" t="str">
        <f t="shared" si="6"/>
        <v>[Lot Type]</v>
      </c>
      <c r="D60" s="20" t="e">
        <f>IF(VLOOKUP($C60, Mapping!$C$2:$L$181, 2, FALSE) = 0, "", VLOOKUP($C60, Mapping!$C$2:$L$181, 2, FALSE))</f>
        <v>#N/A</v>
      </c>
      <c r="E60" s="20" t="e">
        <f>IF(VLOOKUP($C60, Mapping!$C$2:$L$181, 3, FALSE) = 0, "", VLOOKUP($C60, Mapping!$C$2:$L$181, 3, FALSE))</f>
        <v>#N/A</v>
      </c>
      <c r="F60" s="20" t="e">
        <f>IF(VLOOKUP($C60, Mapping!$C$2:$L$181, 4, FALSE) = 0, "", VLOOKUP($C60, Mapping!$C$2:$L$181, 4, FALSE))</f>
        <v>#N/A</v>
      </c>
      <c r="G60" s="20" t="e">
        <f>IF(VLOOKUP($C60, Mapping!$C$2:$L$181, 6, FALSE) = 0, "", VLOOKUP($C60, Mapping!$C$2:$L$181, 6, FALSE))</f>
        <v>#N/A</v>
      </c>
      <c r="H60" s="2" t="e">
        <f>IF(VLOOKUP($C60, Mapping!$C$2:$L$181, 7, FALSE) = 0, "", VLOOKUP($C60, Mapping!$C$2:$L$181, 7, FALSE))</f>
        <v>#N/A</v>
      </c>
      <c r="I60" s="30" t="e">
        <f>IF(VLOOKUP($C60, Mapping!$C$2:$L$181, 8, FALSE) = 0, "", VLOOKUP($C60, Mapping!$C$2:$L$181, 8, FALSE))</f>
        <v>#N/A</v>
      </c>
      <c r="J60" s="30" t="e">
        <f>IF(VLOOKUP($C60, Mapping!$C$2:$L$181, 9, FALSE) = 0, "", VLOOKUP($C60, Mapping!$C$2:$L$181, 9, FALSE))</f>
        <v>#N/A</v>
      </c>
      <c r="K60" s="21" t="e">
        <f>IF(VLOOKUP($C60, Mapping!$C$2:$L$181, 10, FALSE) = 0, "", VLOOKUP($C60, Mapping!$C$2:$L$181, 10, FALSE))</f>
        <v>#N/A</v>
      </c>
    </row>
  </sheetData>
  <conditionalFormatting sqref="B14:B37 E2:F60 B45 B47:B48 B39 B41">
    <cfRule type="containsBlanks" dxfId="55" priority="17">
      <formula>LEN(TRIM(B2))=0</formula>
    </cfRule>
  </conditionalFormatting>
  <conditionalFormatting sqref="G2:H28 G33:H53 G29:G32 G58:H60 G54:G57 H2:H60">
    <cfRule type="expression" dxfId="54" priority="16">
      <formula>OR(ISBLANK(F2), AND(ISBLANK(G2), NOT(LEFT(TRIM(F2), 6)="op_log")))</formula>
    </cfRule>
  </conditionalFormatting>
  <conditionalFormatting sqref="J2:J60">
    <cfRule type="expression" dxfId="53" priority="45">
      <formula>OR(ISBLANK(G2), AND(ISBLANK(J2), NOT(LEFT(TRIM(G2), 6)="op_log")))</formula>
    </cfRule>
  </conditionalFormatting>
  <conditionalFormatting sqref="I2:I60">
    <cfRule type="expression" dxfId="52" priority="47">
      <formula>OR(ISBLANK(G2), AND(ISBLANK(I2), NOT(LEFT(TRIM(G2), 6)="op_log")))</formula>
    </cfRule>
  </conditionalFormatting>
  <conditionalFormatting sqref="B2:B13">
    <cfRule type="containsBlanks" dxfId="51" priority="5">
      <formula>LEN(TRIM(B2))=0</formula>
    </cfRule>
  </conditionalFormatting>
  <conditionalFormatting sqref="C60:D60 C2:C59">
    <cfRule type="duplicateValues" dxfId="50" priority="140"/>
  </conditionalFormatting>
  <conditionalFormatting sqref="D1:D59">
    <cfRule type="containsBlanks" dxfId="49" priority="1">
      <formula>LEN(TRIM(D1))=0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60"/>
  <sheetViews>
    <sheetView zoomScaleNormal="100" workbookViewId="0">
      <selection activeCell="K3" sqref="K3"/>
    </sheetView>
  </sheetViews>
  <sheetFormatPr defaultRowHeight="15" x14ac:dyDescent="0.25"/>
  <cols>
    <col min="1" max="1" width="34" bestFit="1" customWidth="1"/>
    <col min="2" max="2" width="29.28515625" bestFit="1" customWidth="1"/>
    <col min="3" max="3" width="42.7109375" bestFit="1" customWidth="1"/>
    <col min="4" max="4" width="22.5703125" bestFit="1" customWidth="1"/>
    <col min="5" max="5" width="16.28515625" bestFit="1" customWidth="1"/>
    <col min="6" max="6" width="39.85546875" bestFit="1" customWidth="1"/>
    <col min="7" max="7" width="60.5703125" bestFit="1" customWidth="1"/>
    <col min="8" max="8" width="26.140625" bestFit="1" customWidth="1"/>
    <col min="9" max="9" width="21.140625" bestFit="1" customWidth="1"/>
    <col min="10" max="10" width="12" bestFit="1" customWidth="1"/>
    <col min="11" max="11" width="98.85546875" bestFit="1" customWidth="1"/>
  </cols>
  <sheetData>
    <row r="1" spans="1:12" x14ac:dyDescent="0.25">
      <c r="A1" s="17" t="s">
        <v>49</v>
      </c>
      <c r="B1" s="18" t="s">
        <v>50</v>
      </c>
      <c r="C1" s="18" t="s">
        <v>266</v>
      </c>
      <c r="D1" s="18" t="s">
        <v>68</v>
      </c>
      <c r="E1" s="18" t="s">
        <v>506</v>
      </c>
      <c r="F1" s="18" t="s">
        <v>151</v>
      </c>
      <c r="G1" s="18" t="s">
        <v>3</v>
      </c>
      <c r="H1" s="14" t="s">
        <v>277</v>
      </c>
      <c r="I1" s="14" t="s">
        <v>278</v>
      </c>
      <c r="J1" s="14" t="s">
        <v>322</v>
      </c>
      <c r="K1" s="19" t="s">
        <v>150</v>
      </c>
    </row>
    <row r="2" spans="1:12" x14ac:dyDescent="0.25">
      <c r="A2" s="11" t="s">
        <v>216</v>
      </c>
      <c r="B2" s="31" t="s">
        <v>4</v>
      </c>
      <c r="C2" s="1" t="str">
        <f t="shared" ref="C2:C44" si="0">IF(NOT(ISBLANK(B2)),_xlfn.CONCAT(A2,"[",B2,"]"),"")</f>
        <v>LotG/SourceLot/Lot[Fab]</v>
      </c>
      <c r="D2" s="1" t="str">
        <f>IF(VLOOKUP($C2, Mapping!$C$2:$L$181, 2, FALSE) = 0, "", VLOOKUP($C2, Mapping!$C$2:$L$181, 2, FALSE))</f>
        <v>Fab</v>
      </c>
      <c r="E2" s="1" t="str">
        <f>IF(VLOOKUP($C2, Mapping!$C$2:$L$181, 3, FALSE) = 0, "", VLOOKUP($C2, Mapping!$C$2:$L$181, 3, FALSE))</f>
        <v/>
      </c>
      <c r="F2" s="1" t="str">
        <f>IF(VLOOKUP($C2, Mapping!$C$2:$L$181, 4, FALSE) = 0, "", VLOOKUP($C2, Mapping!$C$2:$L$181, 4, FALSE))</f>
        <v>Source Fab</v>
      </c>
      <c r="G2" s="1" t="str">
        <f>IF(VLOOKUP($C2, Mapping!$C$2:$L$181, 6, FALSE) = 0, "", VLOOKUP($C2, Mapping!$C$2:$L$181, 6, FALSE))</f>
        <v>vDbFab</v>
      </c>
      <c r="H2" s="2" t="str">
        <f>IF(VLOOKUP($C2, Mapping!$C$2:$L$181, 7, FALSE) = 0, "", VLOOKUP($C2, Mapping!$C$2:$L$181, 7, FALSE))</f>
        <v/>
      </c>
      <c r="I2" s="2" t="str">
        <f>IF(VLOOKUP($C2, Mapping!$C$2:$L$181, 8, FALSE) = 0, "", VLOOKUP($C2, Mapping!$C$2:$L$181, 8, FALSE))</f>
        <v/>
      </c>
      <c r="J2" s="2" t="str">
        <f>IF(VLOOKUP($C2, Mapping!$C$2:$L$181, 9, FALSE) = 0, "", VLOOKUP($C2, Mapping!$C$2:$L$181, 9, FALSE))</f>
        <v/>
      </c>
      <c r="K2" s="2" t="str">
        <f>IF(VLOOKUP($C2, Mapping!$C$2:$L$181, 10, FALSE) = 0, "", VLOOKUP($C2, Mapping!$C$2:$L$181, 10, FALSE))</f>
        <v/>
      </c>
    </row>
    <row r="3" spans="1:12" x14ac:dyDescent="0.25">
      <c r="A3" s="11" t="s">
        <v>216</v>
      </c>
      <c r="B3" s="31" t="s">
        <v>147</v>
      </c>
      <c r="C3" s="1" t="str">
        <f t="shared" si="0"/>
        <v>LotG/SourceLot/Lot[LotClass]</v>
      </c>
      <c r="D3" s="1" t="str">
        <f>IF(VLOOKUP($C3, Mapping!$C$2:$L$181, 2, FALSE) = 0, "", VLOOKUP($C3, Mapping!$C$2:$L$181, 2, FALSE))</f>
        <v>LotClass</v>
      </c>
      <c r="E3" s="1" t="str">
        <f>IF(VLOOKUP($C3, Mapping!$C$2:$L$181, 3, FALSE) = 0, "", VLOOKUP($C3, Mapping!$C$2:$L$181, 3, FALSE))</f>
        <v/>
      </c>
      <c r="F3" s="1" t="str">
        <f>IF(VLOOKUP($C3, Mapping!$C$2:$L$181, 4, FALSE) = 0, "", VLOOKUP($C3, Mapping!$C$2:$L$181, 4, FALSE))</f>
        <v>Lot Class</v>
      </c>
      <c r="G3" s="1" t="str">
        <f>IF(VLOOKUP($C3, Mapping!$C$2:$L$181, 6, FALSE) = 0, "", VLOOKUP($C3, Mapping!$C$2:$L$181, 6, FALSE))</f>
        <v>vDbLotClass</v>
      </c>
      <c r="H3" s="2" t="str">
        <f>IF(VLOOKUP($C3, Mapping!$C$2:$L$181, 7, FALSE) = 0, "", VLOOKUP($C3, Mapping!$C$2:$L$181, 7, FALSE))</f>
        <v>lot class</v>
      </c>
      <c r="I3" s="2" t="str">
        <f>IF(VLOOKUP($C3, Mapping!$C$2:$L$181, 8, FALSE) = 0, "", VLOOKUP($C3, Mapping!$C$2:$L$181, 8, FALSE))</f>
        <v/>
      </c>
      <c r="J3" s="2" t="str">
        <f>IF(VLOOKUP($C3, Mapping!$C$2:$L$181, 9, FALSE) = 0, "", VLOOKUP($C3, Mapping!$C$2:$L$181, 9, FALSE))</f>
        <v>String</v>
      </c>
      <c r="K3" s="2" t="str">
        <f>IF(VLOOKUP($C3, Mapping!$C$2:$L$181, 10, FALSE) = 0, "", VLOOKUP($C3, Mapping!$C$2:$L$181, 10, FALSE))</f>
        <v>LotG or LTM; Type of lot Engineering/Production,…</v>
      </c>
    </row>
    <row r="4" spans="1:12" x14ac:dyDescent="0.25">
      <c r="A4" s="11" t="s">
        <v>216</v>
      </c>
      <c r="B4" s="31" t="s">
        <v>148</v>
      </c>
      <c r="C4" s="1" t="str">
        <f t="shared" si="0"/>
        <v>LotG/SourceLot/Lot[LotNumber]</v>
      </c>
      <c r="D4" s="1" t="str">
        <f>IF(VLOOKUP($C4, Mapping!$C$2:$L$181, 2, FALSE) = 0, "", VLOOKUP($C4, Mapping!$C$2:$L$181, 2, FALSE))</f>
        <v>SubconLotId</v>
      </c>
      <c r="E4" s="1" t="str">
        <f>IF(VLOOKUP($C4, Mapping!$C$2:$L$181, 3, FALSE) = 0, "", VLOOKUP($C4, Mapping!$C$2:$L$181, 3, FALSE))</f>
        <v/>
      </c>
      <c r="F4" s="1" t="str">
        <f>IF(VLOOKUP($C4, Mapping!$C$2:$L$181, 4, FALSE) = 0, "", VLOOKUP($C4, Mapping!$C$2:$L$181, 4, FALSE))</f>
        <v>Subcon lot id</v>
      </c>
      <c r="G4" s="1" t="str">
        <f>IF(VLOOKUP($C4, Mapping!$C$2:$L$181, 6, FALSE) = 0, "", VLOOKUP($C4, Mapping!$C$2:$L$181, 6, FALSE))</f>
        <v>DbMetaData("Subcon lot id", vvSubconLotId)</v>
      </c>
      <c r="H4" s="2" t="str">
        <f>IF(VLOOKUP($C4, Mapping!$C$2:$L$181, 7, FALSE) = 0, "", VLOOKUP($C4, Mapping!$C$2:$L$181, 7, FALSE))</f>
        <v>op_log linked index 26</v>
      </c>
      <c r="I4" s="2" t="str">
        <f>IF(VLOOKUP($C4, Mapping!$C$2:$L$181, 8, FALSE) = 0, "", VLOOKUP($C4, Mapping!$C$2:$L$181, 8, FALSE))</f>
        <v/>
      </c>
      <c r="J4" s="2" t="str">
        <f>IF(VLOOKUP($C4, Mapping!$C$2:$L$181, 9, FALSE) = 0, "", VLOOKUP($C4, Mapping!$C$2:$L$181, 9, FALSE))</f>
        <v/>
      </c>
      <c r="K4" s="2" t="str">
        <f>IF(VLOOKUP($C4, Mapping!$C$2:$L$181, 10, FALSE) = 0, "", VLOOKUP($C4, Mapping!$C$2:$L$181, 10, FALSE))</f>
        <v/>
      </c>
    </row>
    <row r="5" spans="1:12" x14ac:dyDescent="0.25">
      <c r="A5" s="11" t="s">
        <v>216</v>
      </c>
      <c r="B5" s="31" t="s">
        <v>154</v>
      </c>
      <c r="C5" s="1" t="str">
        <f t="shared" si="0"/>
        <v>LotG/SourceLot/Lot[WaferPart]</v>
      </c>
      <c r="D5" s="1" t="str">
        <f>IF(VLOOKUP($C5, Mapping!$C$2:$L$181, 2, FALSE) = 0, "", VLOOKUP($C5, Mapping!$C$2:$L$181, 2, FALSE))</f>
        <v>Product</v>
      </c>
      <c r="E5" s="1" t="str">
        <f>IF(VLOOKUP($C5, Mapping!$C$2:$L$181, 3, FALSE) = 0, "", VLOOKUP($C5, Mapping!$C$2:$L$181, 3, FALSE))</f>
        <v/>
      </c>
      <c r="F5" s="1" t="str">
        <f>IF(VLOOKUP($C5, Mapping!$C$2:$L$181, 4, FALSE) = 0, "", VLOOKUP($C5, Mapping!$C$2:$L$181, 4, FALSE))</f>
        <v>MES Product ID / Mfg part #</v>
      </c>
      <c r="G5" s="1" t="str">
        <f>IF(VLOOKUP($C5, Mapping!$C$2:$L$181, 6, FALSE) = 0, "", VLOOKUP($C5, Mapping!$C$2:$L$181, 6, FALSE))</f>
        <v>vDbProduct</v>
      </c>
      <c r="H5" s="2" t="str">
        <f>IF(VLOOKUP($C5, Mapping!$C$2:$L$181, 7, FALSE) = 0, "", VLOOKUP($C5, Mapping!$C$2:$L$181, 7, FALSE))</f>
        <v/>
      </c>
      <c r="I5" s="2" t="str">
        <f>IF(VLOOKUP($C5, Mapping!$C$2:$L$181, 8, FALSE) = 0, "", VLOOKUP($C5, Mapping!$C$2:$L$181, 8, FALSE))</f>
        <v/>
      </c>
      <c r="J5" s="2" t="str">
        <f>IF(VLOOKUP($C5, Mapping!$C$2:$L$181, 9, FALSE) = 0, "", VLOOKUP($C5, Mapping!$C$2:$L$181, 9, FALSE))</f>
        <v/>
      </c>
      <c r="K5" s="2" t="str">
        <f>IF(VLOOKUP($C5, Mapping!$C$2:$L$181, 10, FALSE) = 0, "", VLOOKUP($C5, Mapping!$C$2:$L$181, 10, FALSE))</f>
        <v/>
      </c>
    </row>
    <row r="6" spans="1:12" x14ac:dyDescent="0.25">
      <c r="A6" s="11" t="s">
        <v>216</v>
      </c>
      <c r="B6" s="31" t="s">
        <v>160</v>
      </c>
      <c r="C6" s="1" t="str">
        <f t="shared" si="0"/>
        <v>LotG/SourceLot/Lot[Bank]</v>
      </c>
      <c r="D6" s="1" t="str">
        <f>IF(VLOOKUP($C6, Mapping!$C$2:$L$181, 2, FALSE) = 0, "", VLOOKUP($C6, Mapping!$C$2:$L$181, 2, FALSE))</f>
        <v/>
      </c>
      <c r="E6" s="1" t="str">
        <f>IF(VLOOKUP($C6, Mapping!$C$2:$L$181, 3, FALSE) = 0, "", VLOOKUP($C6, Mapping!$C$2:$L$181, 3, FALSE))</f>
        <v/>
      </c>
      <c r="F6" s="1" t="str">
        <f>IF(VLOOKUP($C6, Mapping!$C$2:$L$181, 4, FALSE) = 0, "", VLOOKUP($C6, Mapping!$C$2:$L$181, 4, FALSE))</f>
        <v>Bank Lot</v>
      </c>
      <c r="G6" s="1" t="str">
        <f>IF(VLOOKUP($C6, Mapping!$C$2:$L$181, 6, FALSE) = 0, "", VLOOKUP($C6, Mapping!$C$2:$L$181, 6, FALSE))</f>
        <v/>
      </c>
      <c r="H6" s="2" t="str">
        <f>IF(VLOOKUP($C6, Mapping!$C$2:$L$181, 7, FALSE) = 0, "", VLOOKUP($C6, Mapping!$C$2:$L$181, 7, FALSE))</f>
        <v/>
      </c>
      <c r="I6" s="2" t="str">
        <f>IF(VLOOKUP($C6, Mapping!$C$2:$L$181, 8, FALSE) = 0, "", VLOOKUP($C6, Mapping!$C$2:$L$181, 8, FALSE))</f>
        <v/>
      </c>
      <c r="J6" s="2" t="str">
        <f>IF(VLOOKUP($C6, Mapping!$C$2:$L$181, 9, FALSE) = 0, "", VLOOKUP($C6, Mapping!$C$2:$L$181, 9, FALSE))</f>
        <v/>
      </c>
      <c r="K6" s="2" t="str">
        <f>IF(VLOOKUP($C6, Mapping!$C$2:$L$181, 10, FALSE) = 0, "", VLOOKUP($C6, Mapping!$C$2:$L$181, 10, FALSE))</f>
        <v/>
      </c>
    </row>
    <row r="7" spans="1:12" x14ac:dyDescent="0.25">
      <c r="A7" s="11" t="s">
        <v>25</v>
      </c>
      <c r="B7" s="31" t="s">
        <v>26</v>
      </c>
      <c r="C7" s="1" t="str">
        <f t="shared" si="0"/>
        <v>DataPort[TestFacility]</v>
      </c>
      <c r="D7" s="1" t="str">
        <f>IF(VLOOKUP($C7, Mapping!$C$2:$L$181, 2, FALSE) = 0, "", VLOOKUP($C7, Mapping!$C$2:$L$181, 2, FALSE))</f>
        <v>TestFacility</v>
      </c>
      <c r="E7" s="1" t="str">
        <f>IF(VLOOKUP($C7, Mapping!$C$2:$L$181, 3, FALSE) = 0, "", VLOOKUP($C7, Mapping!$C$2:$L$181, 3, FALSE))</f>
        <v/>
      </c>
      <c r="F7" s="1" t="str">
        <f>IF(VLOOKUP($C7, Mapping!$C$2:$L$181, 4, FALSE) = 0, "", VLOOKUP($C7, Mapping!$C$2:$L$181, 4, FALSE))</f>
        <v>Test Facility</v>
      </c>
      <c r="G7" s="1" t="str">
        <f>IF(VLOOKUP($C7, Mapping!$C$2:$L$181, 6, FALSE) = 0, "", VLOOKUP($C7, Mapping!$C$2:$L$181, 6, FALSE))</f>
        <v>vDbEquip6</v>
      </c>
      <c r="H7" s="2" t="str">
        <f>IF(VLOOKUP($C7, Mapping!$C$2:$L$181, 7, FALSE) = 0, "", VLOOKUP($C7, Mapping!$C$2:$L$181, 7, FALSE))</f>
        <v>Equip[6]</v>
      </c>
      <c r="I7" s="2" t="str">
        <f>IF(VLOOKUP($C7, Mapping!$C$2:$L$181, 8, FALSE) = 0, "", VLOOKUP($C7, Mapping!$C$2:$L$181, 8, FALSE))</f>
        <v/>
      </c>
      <c r="J7" s="2" t="str">
        <f>IF(VLOOKUP($C7, Mapping!$C$2:$L$181, 9, FALSE) = 0, "", VLOOKUP($C7, Mapping!$C$2:$L$181, 9, FALSE))</f>
        <v/>
      </c>
      <c r="K7" s="2" t="str">
        <f>IF(VLOOKUP($C7, Mapping!$C$2:$L$181, 10, FALSE) = 0, "", VLOOKUP($C7, Mapping!$C$2:$L$181, 10, FALSE))</f>
        <v/>
      </c>
      <c r="L7" s="5"/>
    </row>
    <row r="8" spans="1:12" x14ac:dyDescent="0.25">
      <c r="A8" s="11" t="s">
        <v>421</v>
      </c>
      <c r="B8" s="31" t="s">
        <v>23</v>
      </c>
      <c r="C8" s="1" t="str">
        <f t="shared" si="0"/>
        <v>File[FileName]</v>
      </c>
      <c r="D8" s="1" t="str">
        <f>IF(VLOOKUP($C8, Mapping!$C$2:$L$181, 2, FALSE) = 0, "", VLOOKUP($C8, Mapping!$C$2:$L$181, 2, FALSE))</f>
        <v>DataFileName</v>
      </c>
      <c r="E8" s="1" t="str">
        <f>IF(VLOOKUP($C8, Mapping!$C$2:$L$181, 3, FALSE) = 0, "", VLOOKUP($C8, Mapping!$C$2:$L$181, 3, FALSE))</f>
        <v/>
      </c>
      <c r="F8" s="1" t="str">
        <f>IF(VLOOKUP($C8, Mapping!$C$2:$L$181, 4, FALSE) = 0, "", VLOOKUP($C8, Mapping!$C$2:$L$181, 4, FALSE))</f>
        <v>Data File Name</v>
      </c>
      <c r="G8" s="1" t="str">
        <f>IF(VLOOKUP($C8, Mapping!$C$2:$L$181, 6, FALSE) = 0, "", VLOOKUP($C8, Mapping!$C$2:$L$181, 6, FALSE))</f>
        <v>DbMetaData("Data File Name", vFileName)</v>
      </c>
      <c r="H8" s="2" t="str">
        <f>IF(VLOOKUP($C8, Mapping!$C$2:$L$181, 7, FALSE) = 0, "", VLOOKUP($C8, Mapping!$C$2:$L$181, 7, FALSE))</f>
        <v>op_log linked index 3</v>
      </c>
      <c r="I8" s="2" t="str">
        <f>IF(VLOOKUP($C8, Mapping!$C$2:$L$181, 8, FALSE) = 0, "", VLOOKUP($C8, Mapping!$C$2:$L$181, 8, FALSE))</f>
        <v/>
      </c>
      <c r="J8" s="2" t="str">
        <f>IF(VLOOKUP($C8, Mapping!$C$2:$L$181, 9, FALSE) = 0, "", VLOOKUP($C8, Mapping!$C$2:$L$181, 9, FALSE))</f>
        <v/>
      </c>
      <c r="K8" s="2" t="str">
        <f>IF(VLOOKUP($C8, Mapping!$C$2:$L$181, 10, FALSE) = 0, "", VLOOKUP($C8, Mapping!$C$2:$L$181, 10, FALSE))</f>
        <v/>
      </c>
    </row>
    <row r="9" spans="1:12" x14ac:dyDescent="0.25">
      <c r="A9" s="11" t="s">
        <v>422</v>
      </c>
      <c r="B9" s="31" t="s">
        <v>20</v>
      </c>
      <c r="C9" s="1" t="str">
        <f t="shared" si="0"/>
        <v>File/Lot[FinishTime]</v>
      </c>
      <c r="D9" s="1" t="str">
        <f>IF(VLOOKUP($C9, Mapping!$C$2:$L$181, 2, FALSE) = 0, "", VLOOKUP($C9, Mapping!$C$2:$L$181, 2, FALSE))</f>
        <v>EndTime</v>
      </c>
      <c r="E9" s="1" t="str">
        <f>IF(VLOOKUP($C9, Mapping!$C$2:$L$181, 3, FALSE) = 0, "", VLOOKUP($C9, Mapping!$C$2:$L$181, 3, FALSE))</f>
        <v>MRR.FINISH_T</v>
      </c>
      <c r="F9" s="1" t="str">
        <f>IF(VLOOKUP($C9, Mapping!$C$2:$L$181, 4, FALSE) = 0, "", VLOOKUP($C9, Mapping!$C$2:$L$181, 4, FALSE))</f>
        <v>End Time</v>
      </c>
      <c r="G9" s="1" t="str">
        <f>IF(VLOOKUP($C9, Mapping!$C$2:$L$181, 6, FALSE) = 0, "", VLOOKUP($C9, Mapping!$C$2:$L$181, 6, FALSE))</f>
        <v>vDbEndTime</v>
      </c>
      <c r="H9" s="2" t="str">
        <f>IF(VLOOKUP($C9, Mapping!$C$2:$L$181, 7, FALSE) = 0, "", VLOOKUP($C9, Mapping!$C$2:$L$181, 7, FALSE))</f>
        <v/>
      </c>
      <c r="I9" s="2" t="str">
        <f>IF(VLOOKUP($C9, Mapping!$C$2:$L$181, 8, FALSE) = 0, "", VLOOKUP($C9, Mapping!$C$2:$L$181, 8, FALSE))</f>
        <v/>
      </c>
      <c r="J9" s="2" t="str">
        <f>IF(VLOOKUP($C9, Mapping!$C$2:$L$181, 9, FALSE) = 0, "", VLOOKUP($C9, Mapping!$C$2:$L$181, 9, FALSE))</f>
        <v/>
      </c>
      <c r="K9" s="2" t="str">
        <f>IF(VLOOKUP($C9, Mapping!$C$2:$L$181, 10, FALSE) = 0, "", VLOOKUP($C9, Mapping!$C$2:$L$181, 10, FALSE))</f>
        <v/>
      </c>
    </row>
    <row r="10" spans="1:12" x14ac:dyDescent="0.25">
      <c r="A10" s="11" t="s">
        <v>422</v>
      </c>
      <c r="B10" s="31" t="s">
        <v>22</v>
      </c>
      <c r="C10" s="1" t="str">
        <f t="shared" si="0"/>
        <v>File/Lot[JobName]</v>
      </c>
      <c r="D10" s="1" t="str">
        <f>IF(VLOOKUP($C10, Mapping!$C$2:$L$181, 2, FALSE) = 0, "", VLOOKUP($C10, Mapping!$C$2:$L$181, 2, FALSE))</f>
        <v>Recipe</v>
      </c>
      <c r="E10" s="1" t="str">
        <f>IF(VLOOKUP($C10, Mapping!$C$2:$L$181, 3, FALSE) = 0, "", VLOOKUP($C10, Mapping!$C$2:$L$181, 3, FALSE))</f>
        <v>MIR.JOB_NAM</v>
      </c>
      <c r="F10" s="1" t="str">
        <f>IF(VLOOKUP($C10, Mapping!$C$2:$L$181, 4, FALSE) = 0, "", VLOOKUP($C10, Mapping!$C$2:$L$181, 4, FALSE))</f>
        <v>Test Program Name</v>
      </c>
      <c r="G10" s="1" t="str">
        <f>IF(VLOOKUP($C10, Mapping!$C$2:$L$181, 6, FALSE) = 0, "", VLOOKUP($C10, Mapping!$C$2:$L$181, 6, FALSE))</f>
        <v>vDbRecipe</v>
      </c>
      <c r="H10" s="2" t="str">
        <f>IF(VLOOKUP($C10, Mapping!$C$2:$L$181, 7, FALSE) = 0, "", VLOOKUP($C10, Mapping!$C$2:$L$181, 7, FALSE))</f>
        <v/>
      </c>
      <c r="I10" s="2" t="str">
        <f>IF(VLOOKUP($C10, Mapping!$C$2:$L$181, 8, FALSE) = 0, "", VLOOKUP($C10, Mapping!$C$2:$L$181, 8, FALSE))</f>
        <v/>
      </c>
      <c r="J10" s="2" t="str">
        <f>IF(VLOOKUP($C10, Mapping!$C$2:$L$181, 9, FALSE) = 0, "", VLOOKUP($C10, Mapping!$C$2:$L$181, 9, FALSE))</f>
        <v/>
      </c>
      <c r="K10" s="2" t="str">
        <f>IF(VLOOKUP($C10, Mapping!$C$2:$L$181, 10, FALSE) = 0, "", VLOOKUP($C10, Mapping!$C$2:$L$181, 10, FALSE))</f>
        <v/>
      </c>
    </row>
    <row r="11" spans="1:12" x14ac:dyDescent="0.25">
      <c r="A11" s="11" t="s">
        <v>422</v>
      </c>
      <c r="B11" s="31" t="s">
        <v>17</v>
      </c>
      <c r="C11" s="1" t="str">
        <f t="shared" si="0"/>
        <v>File/Lot[JobRevision]</v>
      </c>
      <c r="D11" s="1" t="str">
        <f>IF(VLOOKUP($C11, Mapping!$C$2:$L$181, 2, FALSE) = 0, "", VLOOKUP($C11, Mapping!$C$2:$L$181, 2, FALSE))</f>
        <v>RecipeRevision</v>
      </c>
      <c r="E11" s="1" t="str">
        <f>IF(VLOOKUP($C11, Mapping!$C$2:$L$181, 3, FALSE) = 0, "", VLOOKUP($C11, Mapping!$C$2:$L$181, 3, FALSE))</f>
        <v>MIR.JOB_REV</v>
      </c>
      <c r="F11" s="1" t="str">
        <f>IF(VLOOKUP($C11, Mapping!$C$2:$L$181, 4, FALSE) = 0, "", VLOOKUP($C11, Mapping!$C$2:$L$181, 4, FALSE))</f>
        <v>Test Program Revision</v>
      </c>
      <c r="G11" s="1" t="str">
        <f>IF(VLOOKUP($C11, Mapping!$C$2:$L$181, 6, FALSE) = 0, "", VLOOKUP($C11, Mapping!$C$2:$L$181, 6, FALSE))</f>
        <v>vDbEquip5, vDbProgRev</v>
      </c>
      <c r="H11" s="2" t="str">
        <f>IF(VLOOKUP($C11, Mapping!$C$2:$L$181, 7, FALSE) = 0, "", VLOOKUP($C11, Mapping!$C$2:$L$181, 7, FALSE))</f>
        <v>Equip[5]</v>
      </c>
      <c r="I11" s="2" t="str">
        <f>IF(VLOOKUP($C11, Mapping!$C$2:$L$181, 8, FALSE) = 0, "", VLOOKUP($C11, Mapping!$C$2:$L$181, 8, FALSE))</f>
        <v/>
      </c>
      <c r="J11" s="2" t="str">
        <f>IF(VLOOKUP($C11, Mapping!$C$2:$L$181, 9, FALSE) = 0, "", VLOOKUP($C11, Mapping!$C$2:$L$181, 9, FALSE))</f>
        <v/>
      </c>
      <c r="K11" s="2" t="str">
        <f>IF(VLOOKUP($C11, Mapping!$C$2:$L$181, 10, FALSE) = 0, "", VLOOKUP($C11, Mapping!$C$2:$L$181, 10, FALSE))</f>
        <v/>
      </c>
    </row>
    <row r="12" spans="1:12" x14ac:dyDescent="0.25">
      <c r="A12" s="11" t="s">
        <v>422</v>
      </c>
      <c r="B12" s="31" t="s">
        <v>18</v>
      </c>
      <c r="C12" s="1" t="str">
        <f t="shared" si="0"/>
        <v>File/Lot[LotId]</v>
      </c>
      <c r="D12" s="1" t="str">
        <f>IF(VLOOKUP($C12, Mapping!$C$2:$L$181, 2, FALSE) = 0, "", VLOOKUP($C12, Mapping!$C$2:$L$181, 2, FALSE))</f>
        <v>LotId</v>
      </c>
      <c r="E12" s="1" t="str">
        <f>IF(VLOOKUP($C12, Mapping!$C$2:$L$181, 3, FALSE) = 0, "", VLOOKUP($C12, Mapping!$C$2:$L$181, 3, FALSE))</f>
        <v>MIR.LOT_ID</v>
      </c>
      <c r="F12" s="1" t="str">
        <f>IF(VLOOKUP($C12, Mapping!$C$2:$L$181, 4, FALSE) = 0, "", VLOOKUP($C12, Mapping!$C$2:$L$181, 4, FALSE))</f>
        <v>Lot ID</v>
      </c>
      <c r="G12" s="1" t="str">
        <f>IF(VLOOKUP($C12, Mapping!$C$2:$L$181, 6, FALSE) = 0, "", VLOOKUP($C12, Mapping!$C$2:$L$181, 6, FALSE))</f>
        <v>vDbLot</v>
      </c>
      <c r="H12" s="2" t="str">
        <f>IF(VLOOKUP($C12, Mapping!$C$2:$L$181, 7, FALSE) = 0, "", VLOOKUP($C12, Mapping!$C$2:$L$181, 7, FALSE))</f>
        <v/>
      </c>
      <c r="I12" s="2" t="str">
        <f>IF(VLOOKUP($C12, Mapping!$C$2:$L$181, 8, FALSE) = 0, "", VLOOKUP($C12, Mapping!$C$2:$L$181, 8, FALSE))</f>
        <v/>
      </c>
      <c r="J12" s="2" t="str">
        <f>IF(VLOOKUP($C12, Mapping!$C$2:$L$181, 9, FALSE) = 0, "", VLOOKUP($C12, Mapping!$C$2:$L$181, 9, FALSE))</f>
        <v/>
      </c>
      <c r="K12" s="2" t="str">
        <f>IF(VLOOKUP($C12, Mapping!$C$2:$L$181, 10, FALSE) = 0, "", VLOOKUP($C12, Mapping!$C$2:$L$181, 10, FALSE))</f>
        <v/>
      </c>
    </row>
    <row r="13" spans="1:12" x14ac:dyDescent="0.25">
      <c r="A13" s="11" t="s">
        <v>422</v>
      </c>
      <c r="B13" s="31" t="s">
        <v>342</v>
      </c>
      <c r="C13" s="1" t="str">
        <f t="shared" si="0"/>
        <v>File/Lot[ModeCode]</v>
      </c>
      <c r="D13" s="1" t="str">
        <f>IF(VLOOKUP($C13, Mapping!$C$2:$L$181, 2, FALSE) = 0, "", VLOOKUP($C13, Mapping!$C$2:$L$181, 2, FALSE))</f>
        <v/>
      </c>
      <c r="E13" s="1" t="str">
        <f>IF(VLOOKUP($C13, Mapping!$C$2:$L$181, 3, FALSE) = 0, "", VLOOKUP($C13, Mapping!$C$2:$L$181, 3, FALSE))</f>
        <v>MIR.MODE_COD</v>
      </c>
      <c r="F13" s="1" t="str">
        <f>IF(VLOOKUP($C13, Mapping!$C$2:$L$181, 4, FALSE) = 0, "", VLOOKUP($C13, Mapping!$C$2:$L$181, 4, FALSE))</f>
        <v/>
      </c>
      <c r="G13" s="1" t="str">
        <f>IF(VLOOKUP($C13, Mapping!$C$2:$L$181, 6, FALSE) = 0, "", VLOOKUP($C13, Mapping!$C$2:$L$181, 6, FALSE))</f>
        <v/>
      </c>
      <c r="H13" s="2" t="str">
        <f>IF(VLOOKUP($C13, Mapping!$C$2:$L$181, 7, FALSE) = 0, "", VLOOKUP($C13, Mapping!$C$2:$L$181, 7, FALSE))</f>
        <v/>
      </c>
      <c r="I13" s="2" t="str">
        <f>IF(VLOOKUP($C13, Mapping!$C$2:$L$181, 8, FALSE) = 0, "", VLOOKUP($C13, Mapping!$C$2:$L$181, 8, FALSE))</f>
        <v/>
      </c>
      <c r="J13" s="2" t="str">
        <f>IF(VLOOKUP($C13, Mapping!$C$2:$L$181, 9, FALSE) = 0, "", VLOOKUP($C13, Mapping!$C$2:$L$181, 9, FALSE))</f>
        <v/>
      </c>
      <c r="K13" s="2" t="str">
        <f>IF(VLOOKUP($C13, Mapping!$C$2:$L$181, 10, FALSE) = 0, "", VLOOKUP($C13, Mapping!$C$2:$L$181, 10, FALSE))</f>
        <v/>
      </c>
    </row>
    <row r="14" spans="1:12" x14ac:dyDescent="0.25">
      <c r="A14" s="11" t="s">
        <v>422</v>
      </c>
      <c r="B14" s="31" t="s">
        <v>21</v>
      </c>
      <c r="C14" s="1" t="str">
        <f t="shared" si="0"/>
        <v>File/Lot[NodeName]</v>
      </c>
      <c r="D14" s="1" t="str">
        <f>IF(VLOOKUP($C14, Mapping!$C$2:$L$181, 2, FALSE) = 0, "", VLOOKUP($C14, Mapping!$C$2:$L$181, 2, FALSE))</f>
        <v>TesterHostName</v>
      </c>
      <c r="E14" s="1" t="str">
        <f>IF(VLOOKUP($C14, Mapping!$C$2:$L$181, 3, FALSE) = 0, "", VLOOKUP($C14, Mapping!$C$2:$L$181, 3, FALSE))</f>
        <v>MIR.NODE_NAM</v>
      </c>
      <c r="F14" s="1" t="str">
        <f>IF(VLOOKUP($C14, Mapping!$C$2:$L$181, 4, FALSE) = 0, "", VLOOKUP($C14, Mapping!$C$2:$L$181, 4, FALSE))</f>
        <v>Tester Host Name</v>
      </c>
      <c r="G14" s="1" t="str">
        <f>IF(VLOOKUP($C14, Mapping!$C$2:$L$181, 6, FALSE) = 0, "", VLOOKUP($C14, Mapping!$C$2:$L$181, 6, FALSE))</f>
        <v>DbMetaData("Tester Host Name", vTesterHostName)</v>
      </c>
      <c r="H14" s="2" t="str">
        <f>IF(VLOOKUP($C14, Mapping!$C$2:$L$181, 7, FALSE) = 0, "", VLOOKUP($C14, Mapping!$C$2:$L$181, 7, FALSE))</f>
        <v>op_log linked index 6</v>
      </c>
      <c r="I14" s="2" t="str">
        <f>IF(VLOOKUP($C14, Mapping!$C$2:$L$181, 8, FALSE) = 0, "", VLOOKUP($C14, Mapping!$C$2:$L$181, 8, FALSE))</f>
        <v/>
      </c>
      <c r="J14" s="2" t="str">
        <f>IF(VLOOKUP($C14, Mapping!$C$2:$L$181, 9, FALSE) = 0, "", VLOOKUP($C14, Mapping!$C$2:$L$181, 9, FALSE))</f>
        <v/>
      </c>
      <c r="K14" s="2" t="str">
        <f>IF(VLOOKUP($C14, Mapping!$C$2:$L$181, 10, FALSE) = 0, "", VLOOKUP($C14, Mapping!$C$2:$L$181, 10, FALSE))</f>
        <v/>
      </c>
    </row>
    <row r="15" spans="1:12" x14ac:dyDescent="0.25">
      <c r="A15" s="11" t="s">
        <v>422</v>
      </c>
      <c r="B15" s="31" t="s">
        <v>14</v>
      </c>
      <c r="C15" s="1" t="str">
        <f t="shared" si="0"/>
        <v>File/Lot[OperatorName]</v>
      </c>
      <c r="D15" s="1" t="str">
        <f>IF(VLOOKUP($C15, Mapping!$C$2:$L$181, 2, FALSE) = 0, "", VLOOKUP($C15, Mapping!$C$2:$L$181, 2, FALSE))</f>
        <v>Operator</v>
      </c>
      <c r="E15" s="1" t="str">
        <f>IF(VLOOKUP($C15, Mapping!$C$2:$L$181, 3, FALSE) = 0, "", VLOOKUP($C15, Mapping!$C$2:$L$181, 3, FALSE))</f>
        <v>MIR.OPER_NAM</v>
      </c>
      <c r="F15" s="1" t="str">
        <f>IF(VLOOKUP($C15, Mapping!$C$2:$L$181, 4, FALSE) = 0, "", VLOOKUP($C15, Mapping!$C$2:$L$181, 4, FALSE))</f>
        <v>Operator ID</v>
      </c>
      <c r="G15" s="1" t="str">
        <f>IF(VLOOKUP($C15, Mapping!$C$2:$L$181, 6, FALSE) = 0, "", VLOOKUP($C15, Mapping!$C$2:$L$181, 6, FALSE))</f>
        <v>vDbOperator</v>
      </c>
      <c r="H15" s="2" t="str">
        <f>IF(VLOOKUP($C15, Mapping!$C$2:$L$181, 7, FALSE) = 0, "", VLOOKUP($C15, Mapping!$C$2:$L$181, 7, FALSE))</f>
        <v/>
      </c>
      <c r="I15" s="2" t="str">
        <f>IF(VLOOKUP($C15, Mapping!$C$2:$L$181, 8, FALSE) = 0, "", VLOOKUP($C15, Mapping!$C$2:$L$181, 8, FALSE))</f>
        <v/>
      </c>
      <c r="J15" s="2" t="str">
        <f>IF(VLOOKUP($C15, Mapping!$C$2:$L$181, 9, FALSE) = 0, "", VLOOKUP($C15, Mapping!$C$2:$L$181, 9, FALSE))</f>
        <v/>
      </c>
      <c r="K15" s="2" t="str">
        <f>IF(VLOOKUP($C15, Mapping!$C$2:$L$181, 10, FALSE) = 0, "", VLOOKUP($C15, Mapping!$C$2:$L$181, 10, FALSE))</f>
        <v/>
      </c>
    </row>
    <row r="16" spans="1:12" x14ac:dyDescent="0.25">
      <c r="A16" s="11" t="s">
        <v>422</v>
      </c>
      <c r="B16" s="31" t="s">
        <v>27</v>
      </c>
      <c r="C16" s="1" t="str">
        <f t="shared" si="0"/>
        <v>File/Lot[SublotId]</v>
      </c>
      <c r="D16" s="1" t="str">
        <f>IF(VLOOKUP($C16, Mapping!$C$2:$L$181, 2, FALSE) = 0, "", VLOOKUP($C16, Mapping!$C$2:$L$181, 2, FALSE))</f>
        <v>SourceLot</v>
      </c>
      <c r="E16" s="1" t="str">
        <f>IF(VLOOKUP($C16, Mapping!$C$2:$L$181, 3, FALSE) = 0, "", VLOOKUP($C16, Mapping!$C$2:$L$181, 3, FALSE))</f>
        <v>MIR.SBLOT_ID</v>
      </c>
      <c r="F16" s="1" t="str">
        <f>IF(VLOOKUP($C16, Mapping!$C$2:$L$181, 4, FALSE) = 0, "", VLOOKUP($C16, Mapping!$C$2:$L$181, 4, FALSE))</f>
        <v>Source Lot</v>
      </c>
      <c r="G16" s="1" t="str">
        <f>IF(VLOOKUP($C16, Mapping!$C$2:$L$181, 6, FALSE) = 0, "", VLOOKUP($C16, Mapping!$C$2:$L$181, 6, FALSE))</f>
        <v>vDbSrcLot</v>
      </c>
      <c r="H16" s="2" t="str">
        <f>IF(VLOOKUP($C16, Mapping!$C$2:$L$181, 7, FALSE) = 0, "", VLOOKUP($C16, Mapping!$C$2:$L$181, 7, FALSE))</f>
        <v/>
      </c>
      <c r="I16" s="2" t="str">
        <f>IF(VLOOKUP($C16, Mapping!$C$2:$L$181, 8, FALSE) = 0, "", VLOOKUP($C16, Mapping!$C$2:$L$181, 8, FALSE))</f>
        <v/>
      </c>
      <c r="J16" s="2" t="str">
        <f>IF(VLOOKUP($C16, Mapping!$C$2:$L$181, 9, FALSE) = 0, "", VLOOKUP($C16, Mapping!$C$2:$L$181, 9, FALSE))</f>
        <v/>
      </c>
      <c r="K16" s="2" t="str">
        <f>IF(VLOOKUP($C16, Mapping!$C$2:$L$181, 10, FALSE) = 0, "", VLOOKUP($C16, Mapping!$C$2:$L$181, 10, FALSE))</f>
        <v>If not ends ".S", ".S" is being added behind the "."</v>
      </c>
    </row>
    <row r="17" spans="1:11" x14ac:dyDescent="0.25">
      <c r="A17" s="11" t="s">
        <v>422</v>
      </c>
      <c r="B17" s="31" t="s">
        <v>19</v>
      </c>
      <c r="C17" s="1" t="str">
        <f t="shared" si="0"/>
        <v>File/Lot[StartTime]</v>
      </c>
      <c r="D17" s="1" t="str">
        <f>IF(VLOOKUP($C17, Mapping!$C$2:$L$181, 2, FALSE) = 0, "", VLOOKUP($C17, Mapping!$C$2:$L$181, 2, FALSE))</f>
        <v>StartTime</v>
      </c>
      <c r="E17" s="1" t="str">
        <f>IF(VLOOKUP($C17, Mapping!$C$2:$L$181, 3, FALSE) = 0, "", VLOOKUP($C17, Mapping!$C$2:$L$181, 3, FALSE))</f>
        <v>MIR.START_T</v>
      </c>
      <c r="F17" s="1" t="str">
        <f>IF(VLOOKUP($C17, Mapping!$C$2:$L$181, 4, FALSE) = 0, "", VLOOKUP($C17, Mapping!$C$2:$L$181, 4, FALSE))</f>
        <v>Start Time</v>
      </c>
      <c r="G17" s="1" t="str">
        <f>IF(VLOOKUP($C17, Mapping!$C$2:$L$181, 6, FALSE) = 0, "", VLOOKUP($C17, Mapping!$C$2:$L$181, 6, FALSE))</f>
        <v>vDbStartTime</v>
      </c>
      <c r="H17" s="2" t="str">
        <f>IF(VLOOKUP($C17, Mapping!$C$2:$L$181, 7, FALSE) = 0, "", VLOOKUP($C17, Mapping!$C$2:$L$181, 7, FALSE))</f>
        <v/>
      </c>
      <c r="I17" s="2" t="str">
        <f>IF(VLOOKUP($C17, Mapping!$C$2:$L$181, 8, FALSE) = 0, "", VLOOKUP($C17, Mapping!$C$2:$L$181, 8, FALSE))</f>
        <v/>
      </c>
      <c r="J17" s="2" t="str">
        <f>IF(VLOOKUP($C17, Mapping!$C$2:$L$181, 9, FALSE) = 0, "", VLOOKUP($C17, Mapping!$C$2:$L$181, 9, FALSE))</f>
        <v/>
      </c>
      <c r="K17" s="2" t="str">
        <f>IF(VLOOKUP($C17, Mapping!$C$2:$L$181, 10, FALSE) = 0, "", VLOOKUP($C17, Mapping!$C$2:$L$181, 10, FALSE))</f>
        <v/>
      </c>
    </row>
    <row r="18" spans="1:11" x14ac:dyDescent="0.25">
      <c r="A18" s="11" t="s">
        <v>422</v>
      </c>
      <c r="B18" s="31" t="s">
        <v>28</v>
      </c>
      <c r="C18" s="1" t="str">
        <f t="shared" si="0"/>
        <v>File/Lot[TestTemperature]</v>
      </c>
      <c r="D18" s="1" t="str">
        <f>IF(VLOOKUP($C18, Mapping!$C$2:$L$181, 2, FALSE) = 0, "", VLOOKUP($C18, Mapping!$C$2:$L$181, 2, FALSE))</f>
        <v>Temperature</v>
      </c>
      <c r="E18" s="1" t="str">
        <f>IF(VLOOKUP($C18, Mapping!$C$2:$L$181, 3, FALSE) = 0, "", VLOOKUP($C18, Mapping!$C$2:$L$181, 3, FALSE))</f>
        <v>MIR.TST_TEMP</v>
      </c>
      <c r="F18" s="1" t="str">
        <f>IF(VLOOKUP($C18, Mapping!$C$2:$L$181, 4, FALSE) = 0, "", VLOOKUP($C18, Mapping!$C$2:$L$181, 4, FALSE))</f>
        <v>Temperature</v>
      </c>
      <c r="G18" s="1" t="str">
        <f>IF(VLOOKUP($C18, Mapping!$C$2:$L$181, 6, FALSE) = 0, "", VLOOKUP($C18, Mapping!$C$2:$L$181, 6, FALSE))</f>
        <v>DbMetaData("Temperature", vTemperature)</v>
      </c>
      <c r="H18" s="2" t="str">
        <f>IF(VLOOKUP($C18, Mapping!$C$2:$L$181, 7, FALSE) = 0, "", VLOOKUP($C18, Mapping!$C$2:$L$181, 7, FALSE))</f>
        <v>op_log linked index 5</v>
      </c>
      <c r="I18" s="2" t="str">
        <f>IF(VLOOKUP($C18, Mapping!$C$2:$L$181, 8, FALSE) = 0, "", VLOOKUP($C18, Mapping!$C$2:$L$181, 8, FALSE))</f>
        <v/>
      </c>
      <c r="J18" s="2" t="str">
        <f>IF(VLOOKUP($C18, Mapping!$C$2:$L$181, 9, FALSE) = 0, "", VLOOKUP($C18, Mapping!$C$2:$L$181, 9, FALSE))</f>
        <v/>
      </c>
      <c r="K18" s="2" t="str">
        <f>IF(VLOOKUP($C18, Mapping!$C$2:$L$181, 10, FALSE) = 0, "", VLOOKUP($C18, Mapping!$C$2:$L$181, 10, FALSE))</f>
        <v/>
      </c>
    </row>
    <row r="19" spans="1:11" x14ac:dyDescent="0.25">
      <c r="A19" s="11" t="s">
        <v>422</v>
      </c>
      <c r="B19" s="31" t="s">
        <v>11</v>
      </c>
      <c r="C19" s="1" t="str">
        <f t="shared" si="0"/>
        <v>File/Lot[TesterType]</v>
      </c>
      <c r="D19" s="1" t="str">
        <f>IF(VLOOKUP($C19, Mapping!$C$2:$L$181, 2, FALSE) = 0, "", VLOOKUP($C19, Mapping!$C$2:$L$181, 2, FALSE))</f>
        <v>TesterType</v>
      </c>
      <c r="E19" s="1" t="str">
        <f>IF(VLOOKUP($C19, Mapping!$C$2:$L$181, 3, FALSE) = 0, "", VLOOKUP($C19, Mapping!$C$2:$L$181, 3, FALSE))</f>
        <v>MIR.TSTR_TYP</v>
      </c>
      <c r="F19" s="1" t="str">
        <f>IF(VLOOKUP($C19, Mapping!$C$2:$L$181, 4, FALSE) = 0, "", VLOOKUP($C19, Mapping!$C$2:$L$181, 4, FALSE))</f>
        <v>Tester Type/Model</v>
      </c>
      <c r="G19" s="1" t="str">
        <f>IF(VLOOKUP($C19, Mapping!$C$2:$L$181, 6, FALSE) = 0, "", VLOOKUP($C19, Mapping!$C$2:$L$181, 6, FALSE))</f>
        <v/>
      </c>
      <c r="H19" s="2" t="str">
        <f>IF(VLOOKUP($C19, Mapping!$C$2:$L$181, 7, FALSE) = 0, "", VLOOKUP($C19, Mapping!$C$2:$L$181, 7, FALSE))</f>
        <v>Equip[1] Type</v>
      </c>
      <c r="I19" s="2" t="str">
        <f>IF(VLOOKUP($C19, Mapping!$C$2:$L$181, 8, FALSE) = 0, "", VLOOKUP($C19, Mapping!$C$2:$L$181, 8, FALSE))</f>
        <v/>
      </c>
      <c r="J19" s="2" t="str">
        <f>IF(VLOOKUP($C19, Mapping!$C$2:$L$181, 9, FALSE) = 0, "", VLOOKUP($C19, Mapping!$C$2:$L$181, 9, FALSE))</f>
        <v/>
      </c>
      <c r="K19" s="2" t="str">
        <f>IF(VLOOKUP($C19, Mapping!$C$2:$L$181, 10, FALSE) = 0, "", VLOOKUP($C19, Mapping!$C$2:$L$181, 10, FALSE))</f>
        <v/>
      </c>
    </row>
    <row r="20" spans="1:11" x14ac:dyDescent="0.25">
      <c r="A20" s="11" t="s">
        <v>422</v>
      </c>
      <c r="B20" s="31" t="s">
        <v>55</v>
      </c>
      <c r="C20" s="1" t="str">
        <f t="shared" si="0"/>
        <v>File/Lot[FloorId]</v>
      </c>
      <c r="D20" s="1" t="str">
        <f>IF(VLOOKUP($C20, Mapping!$C$2:$L$181, 2, FALSE) = 0, "", VLOOKUP($C20, Mapping!$C$2:$L$181, 2, FALSE))</f>
        <v>TestFloor</v>
      </c>
      <c r="E20" s="1" t="str">
        <f>IF(VLOOKUP($C20, Mapping!$C$2:$L$181, 3, FALSE) = 0, "", VLOOKUP($C20, Mapping!$C$2:$L$181, 3, FALSE))</f>
        <v>MIR.FLOOR_ID</v>
      </c>
      <c r="F20" s="1" t="str">
        <f>IF(VLOOKUP($C20, Mapping!$C$2:$L$181, 4, FALSE) = 0, "", VLOOKUP($C20, Mapping!$C$2:$L$181, 4, FALSE))</f>
        <v>Test Floor</v>
      </c>
      <c r="G20" s="1" t="str">
        <f>IF(VLOOKUP($C20, Mapping!$C$2:$L$181, 6, FALSE) = 0, "", VLOOKUP($C20, Mapping!$C$2:$L$181, 6, FALSE))</f>
        <v>DbMetaData("Test Floor", vTestFloor)</v>
      </c>
      <c r="H20" s="2" t="str">
        <f>IF(VLOOKUP($C20, Mapping!$C$2:$L$181, 7, FALSE) = 0, "", VLOOKUP($C20, Mapping!$C$2:$L$181, 7, FALSE))</f>
        <v>op_log linked index 2</v>
      </c>
      <c r="I20" s="2" t="str">
        <f>IF(VLOOKUP($C20, Mapping!$C$2:$L$181, 8, FALSE) = 0, "", VLOOKUP($C20, Mapping!$C$2:$L$181, 8, FALSE))</f>
        <v/>
      </c>
      <c r="J20" s="2" t="str">
        <f>IF(VLOOKUP($C20, Mapping!$C$2:$L$181, 9, FALSE) = 0, "", VLOOKUP($C20, Mapping!$C$2:$L$181, 9, FALSE))</f>
        <v/>
      </c>
      <c r="K20" s="2" t="str">
        <f>IF(VLOOKUP($C20, Mapping!$C$2:$L$181, 10, FALSE) = 0, "", VLOOKUP($C20, Mapping!$C$2:$L$181, 10, FALSE))</f>
        <v/>
      </c>
    </row>
    <row r="21" spans="1:11" x14ac:dyDescent="0.25">
      <c r="A21" s="11" t="s">
        <v>422</v>
      </c>
      <c r="B21" s="31" t="s">
        <v>56</v>
      </c>
      <c r="C21" s="1" t="str">
        <f t="shared" si="0"/>
        <v>File/Lot[ExecType]</v>
      </c>
      <c r="D21" s="1" t="str">
        <f>IF(VLOOKUP($C21, Mapping!$C$2:$L$181, 2, FALSE) = 0, "", VLOOKUP($C21, Mapping!$C$2:$L$181, 2, FALSE))</f>
        <v>TesterSoftware</v>
      </c>
      <c r="E21" s="1" t="str">
        <f>IF(VLOOKUP($C21, Mapping!$C$2:$L$181, 3, FALSE) = 0, "", VLOOKUP($C21, Mapping!$C$2:$L$181, 3, FALSE))</f>
        <v>MIR.EXEC_TYP</v>
      </c>
      <c r="F21" s="1" t="str">
        <f>IF(VLOOKUP($C21, Mapping!$C$2:$L$181, 4, FALSE) = 0, "", VLOOKUP($C21, Mapping!$C$2:$L$181, 4, FALSE))</f>
        <v>Tester Software</v>
      </c>
      <c r="G21" s="1" t="str">
        <f>IF(VLOOKUP($C21, Mapping!$C$2:$L$181, 6, FALSE) = 0, "", VLOOKUP($C21, Mapping!$C$2:$L$181, 6, FALSE))</f>
        <v>DbMetaData("Test Software", vFileName)</v>
      </c>
      <c r="H21" s="2" t="str">
        <f>IF(VLOOKUP($C21, Mapping!$C$2:$L$181, 7, FALSE) = 0, "", VLOOKUP($C21, Mapping!$C$2:$L$181, 7, FALSE))</f>
        <v>op_log linked index 8</v>
      </c>
      <c r="I21" s="2" t="str">
        <f>IF(VLOOKUP($C21, Mapping!$C$2:$L$181, 8, FALSE) = 0, "", VLOOKUP($C21, Mapping!$C$2:$L$181, 8, FALSE))</f>
        <v/>
      </c>
      <c r="J21" s="2" t="str">
        <f>IF(VLOOKUP($C21, Mapping!$C$2:$L$181, 9, FALSE) = 0, "", VLOOKUP($C21, Mapping!$C$2:$L$181, 9, FALSE))</f>
        <v/>
      </c>
      <c r="K21" s="2" t="str">
        <f>IF(VLOOKUP($C21, Mapping!$C$2:$L$181, 10, FALSE) = 0, "", VLOOKUP($C21, Mapping!$C$2:$L$181, 10, FALSE))</f>
        <v/>
      </c>
    </row>
    <row r="22" spans="1:11" x14ac:dyDescent="0.25">
      <c r="A22" s="11" t="s">
        <v>422</v>
      </c>
      <c r="B22" s="31" t="s">
        <v>57</v>
      </c>
      <c r="C22" s="1" t="str">
        <f t="shared" si="0"/>
        <v>File/Lot[ExecVersion]</v>
      </c>
      <c r="D22" s="1" t="str">
        <f>IF(VLOOKUP($C22, Mapping!$C$2:$L$181, 2, FALSE) = 0, "", VLOOKUP($C22, Mapping!$C$2:$L$181, 2, FALSE))</f>
        <v>TesterSoftwareRevision</v>
      </c>
      <c r="E22" s="1" t="str">
        <f>IF(VLOOKUP($C22, Mapping!$C$2:$L$181, 3, FALSE) = 0, "", VLOOKUP($C22, Mapping!$C$2:$L$181, 3, FALSE))</f>
        <v>MIR.EXEC_VER</v>
      </c>
      <c r="F22" s="1" t="str">
        <f>IF(VLOOKUP($C22, Mapping!$C$2:$L$181, 4, FALSE) = 0, "", VLOOKUP($C22, Mapping!$C$2:$L$181, 4, FALSE))</f>
        <v>Tester Software Version</v>
      </c>
      <c r="G22" s="1" t="str">
        <f>IF(VLOOKUP($C22, Mapping!$C$2:$L$181, 6, FALSE) = 0, "", VLOOKUP($C22, Mapping!$C$2:$L$181, 6, FALSE))</f>
        <v>DbMetaData("Tester Software Version", vTesterSoftwareVersion)</v>
      </c>
      <c r="H22" s="2" t="str">
        <f>IF(VLOOKUP($C22, Mapping!$C$2:$L$181, 7, FALSE) = 0, "", VLOOKUP($C22, Mapping!$C$2:$L$181, 7, FALSE))</f>
        <v>op_log linked index 9</v>
      </c>
      <c r="I22" s="2" t="str">
        <f>IF(VLOOKUP($C22, Mapping!$C$2:$L$181, 8, FALSE) = 0, "", VLOOKUP($C22, Mapping!$C$2:$L$181, 8, FALSE))</f>
        <v/>
      </c>
      <c r="J22" s="2" t="str">
        <f>IF(VLOOKUP($C22, Mapping!$C$2:$L$181, 9, FALSE) = 0, "", VLOOKUP($C22, Mapping!$C$2:$L$181, 9, FALSE))</f>
        <v/>
      </c>
      <c r="K22" s="2" t="str">
        <f>IF(VLOOKUP($C22, Mapping!$C$2:$L$181, 10, FALSE) = 0, "", VLOOKUP($C22, Mapping!$C$2:$L$181, 10, FALSE))</f>
        <v/>
      </c>
    </row>
    <row r="23" spans="1:11" x14ac:dyDescent="0.25">
      <c r="A23" s="11" t="s">
        <v>422</v>
      </c>
      <c r="B23" s="31" t="s">
        <v>192</v>
      </c>
      <c r="C23" s="1" t="str">
        <f t="shared" si="0"/>
        <v>File/Lot[AUXFile]</v>
      </c>
      <c r="D23" s="1" t="str">
        <f>IF(VLOOKUP($C23, Mapping!$C$2:$L$181, 2, FALSE) = 0, "", VLOOKUP($C23, Mapping!$C$2:$L$181, 2, FALSE))</f>
        <v>PdsFile</v>
      </c>
      <c r="E23" s="1" t="str">
        <f>IF(VLOOKUP($C23, Mapping!$C$2:$L$181, 3, FALSE) = 0, "", VLOOKUP($C23, Mapping!$C$2:$L$181, 3, FALSE))</f>
        <v>MIR.AUX_FILE</v>
      </c>
      <c r="F23" s="1" t="str">
        <f>IF(VLOOKUP($C23, Mapping!$C$2:$L$181, 4, FALSE) = 0, "", VLOOKUP($C23, Mapping!$C$2:$L$181, 4, FALSE))</f>
        <v>PDS File</v>
      </c>
      <c r="G23" s="1" t="str">
        <f>IF(VLOOKUP($C23, Mapping!$C$2:$L$181, 6, FALSE) = 0, "", VLOOKUP($C23, Mapping!$C$2:$L$181, 6, FALSE))</f>
        <v>DbMetaData("PDS File", vFileName)</v>
      </c>
      <c r="H23" s="2" t="str">
        <f>IF(VLOOKUP($C23, Mapping!$C$2:$L$181, 7, FALSE) = 0, "", VLOOKUP($C23, Mapping!$C$2:$L$181, 7, FALSE))</f>
        <v>op_log linked index 16</v>
      </c>
      <c r="I23" s="2" t="str">
        <f>IF(VLOOKUP($C23, Mapping!$C$2:$L$181, 8, FALSE) = 0, "", VLOOKUP($C23, Mapping!$C$2:$L$181, 8, FALSE))</f>
        <v/>
      </c>
      <c r="J23" s="2" t="str">
        <f>IF(VLOOKUP($C23, Mapping!$C$2:$L$181, 9, FALSE) = 0, "", VLOOKUP($C23, Mapping!$C$2:$L$181, 9, FALSE))</f>
        <v/>
      </c>
      <c r="K23" s="2" t="str">
        <f>IF(VLOOKUP($C23, Mapping!$C$2:$L$181, 10, FALSE) = 0, "", VLOOKUP($C23, Mapping!$C$2:$L$181, 10, FALSE))</f>
        <v/>
      </c>
    </row>
    <row r="24" spans="1:11" x14ac:dyDescent="0.25">
      <c r="A24" s="11" t="s">
        <v>423</v>
      </c>
      <c r="B24" s="31" t="s">
        <v>30</v>
      </c>
      <c r="C24" s="1" t="str">
        <f t="shared" si="0"/>
        <v>File/Lot/Wafer[WaferId]</v>
      </c>
      <c r="D24" s="1" t="str">
        <f>IF(VLOOKUP($C24, Mapping!$C$2:$L$181, 2, FALSE) = 0, "", VLOOKUP($C24, Mapping!$C$2:$L$181, 2, FALSE))</f>
        <v>WaferNumber</v>
      </c>
      <c r="E24" s="1" t="str">
        <f>IF(VLOOKUP($C24, Mapping!$C$2:$L$181, 3, FALSE) = 0, "", VLOOKUP($C24, Mapping!$C$2:$L$181, 3, FALSE))</f>
        <v/>
      </c>
      <c r="F24" s="1" t="str">
        <f>IF(VLOOKUP($C24, Mapping!$C$2:$L$181, 4, FALSE) = 0, "", VLOOKUP($C24, Mapping!$C$2:$L$181, 4, FALSE))</f>
        <v>Wafer Number</v>
      </c>
      <c r="G24" s="1" t="str">
        <f>IF(VLOOKUP($C24, Mapping!$C$2:$L$181, 6, FALSE) = 0, "", VLOOKUP($C24, Mapping!$C$2:$L$181, 6, FALSE))</f>
        <v>vDbWfNum</v>
      </c>
      <c r="H24" s="2" t="str">
        <f>IF(VLOOKUP($C24, Mapping!$C$2:$L$181, 7, FALSE) = 0, "", VLOOKUP($C24, Mapping!$C$2:$L$181, 7, FALSE))</f>
        <v/>
      </c>
      <c r="I24" s="2" t="str">
        <f>IF(VLOOKUP($C24, Mapping!$C$2:$L$181, 8, FALSE) = 0, "", VLOOKUP($C24, Mapping!$C$2:$L$181, 8, FALSE))</f>
        <v/>
      </c>
      <c r="J24" s="2" t="str">
        <f>IF(VLOOKUP($C24, Mapping!$C$2:$L$181, 9, FALSE) = 0, "", VLOOKUP($C24, Mapping!$C$2:$L$181, 9, FALSE))</f>
        <v/>
      </c>
      <c r="K24" s="2" t="str">
        <f>IF(VLOOKUP($C24, Mapping!$C$2:$L$181, 10, FALSE) = 0, "", VLOOKUP($C24, Mapping!$C$2:$L$181, 10, FALSE))</f>
        <v/>
      </c>
    </row>
    <row r="25" spans="1:11" x14ac:dyDescent="0.25">
      <c r="A25" s="11" t="s">
        <v>424</v>
      </c>
      <c r="B25" s="31" t="s">
        <v>7</v>
      </c>
      <c r="C25" s="1" t="str">
        <f t="shared" si="0"/>
        <v>File/Lot/Parameters/Param[Id]</v>
      </c>
      <c r="D25" s="1" t="str">
        <f>IF(VLOOKUP($C25, Mapping!$C$2:$L$181, 2, FALSE) = 0, "", VLOOKUP($C25, Mapping!$C$2:$L$181, 2, FALSE))</f>
        <v/>
      </c>
      <c r="E25" s="1" t="str">
        <f>IF(VLOOKUP($C25, Mapping!$C$2:$L$181, 3, FALSE) = 0, "", VLOOKUP($C25, Mapping!$C$2:$L$181, 3, FALSE))</f>
        <v/>
      </c>
      <c r="F25" s="1" t="str">
        <f>IF(VLOOKUP($C25, Mapping!$C$2:$L$181, 4, FALSE) = 0, "", VLOOKUP($C25, Mapping!$C$2:$L$181, 4, FALSE))</f>
        <v/>
      </c>
      <c r="G25" s="1" t="str">
        <f>IF(VLOOKUP($C25, Mapping!$C$2:$L$181, 6, FALSE) = 0, "", VLOOKUP($C25, Mapping!$C$2:$L$181, 6, FALSE))</f>
        <v/>
      </c>
      <c r="H25" s="2" t="str">
        <f>IF(VLOOKUP($C25, Mapping!$C$2:$L$181, 7, FALSE) = 0, "", VLOOKUP($C25, Mapping!$C$2:$L$181, 7, FALSE))</f>
        <v/>
      </c>
      <c r="I25" s="2" t="str">
        <f>IF(VLOOKUP($C25, Mapping!$C$2:$L$181, 8, FALSE) = 0, "", VLOOKUP($C25, Mapping!$C$2:$L$181, 8, FALSE))</f>
        <v/>
      </c>
      <c r="J25" s="2" t="str">
        <f>IF(VLOOKUP($C25, Mapping!$C$2:$L$181, 9, FALSE) = 0, "", VLOOKUP($C25, Mapping!$C$2:$L$181, 9, FALSE))</f>
        <v/>
      </c>
      <c r="K25" s="2" t="str">
        <f>IF(VLOOKUP($C25, Mapping!$C$2:$L$181, 10, FALSE) = 0, "", VLOOKUP($C25, Mapping!$C$2:$L$181, 10, FALSE))</f>
        <v/>
      </c>
    </row>
    <row r="26" spans="1:11" x14ac:dyDescent="0.25">
      <c r="A26" s="11" t="s">
        <v>424</v>
      </c>
      <c r="B26" s="31" t="s">
        <v>32</v>
      </c>
      <c r="C26" s="1" t="str">
        <f t="shared" si="0"/>
        <v>File/Lot/Parameters/Param[TestName]</v>
      </c>
      <c r="D26" s="1" t="str">
        <f>IF(VLOOKUP($C26, Mapping!$C$2:$L$181, 2, FALSE) = 0, "", VLOOKUP($C26, Mapping!$C$2:$L$181, 2, FALSE))</f>
        <v/>
      </c>
      <c r="E26" s="1" t="str">
        <f>IF(VLOOKUP($C26, Mapping!$C$2:$L$181, 3, FALSE) = 0, "", VLOOKUP($C26, Mapping!$C$2:$L$181, 3, FALSE))</f>
        <v/>
      </c>
      <c r="F26" s="1" t="str">
        <f>IF(VLOOKUP($C26, Mapping!$C$2:$L$181, 4, FALSE) = 0, "", VLOOKUP($C26, Mapping!$C$2:$L$181, 4, FALSE))</f>
        <v>TestName (KeyCond)</v>
      </c>
      <c r="G26" s="1" t="str">
        <f>IF(VLOOKUP($C26, Mapping!$C$2:$L$181, 6, FALSE) = 0, "", VLOOKUP($C26, Mapping!$C$2:$L$181, 6, FALSE))</f>
        <v/>
      </c>
      <c r="H26" s="2" t="str">
        <f>IF(VLOOKUP($C26, Mapping!$C$2:$L$181, 7, FALSE) = 0, "", VLOOKUP($C26, Mapping!$C$2:$L$181, 7, FALSE))</f>
        <v/>
      </c>
      <c r="I26" s="2" t="str">
        <f>IF(VLOOKUP($C26, Mapping!$C$2:$L$181, 8, FALSE) = 0, "", VLOOKUP($C26, Mapping!$C$2:$L$181, 8, FALSE))</f>
        <v/>
      </c>
      <c r="J26" s="2" t="str">
        <f>IF(VLOOKUP($C26, Mapping!$C$2:$L$181, 9, FALSE) = 0, "", VLOOKUP($C26, Mapping!$C$2:$L$181, 9, FALSE))</f>
        <v/>
      </c>
      <c r="K26" s="2" t="str">
        <f>IF(VLOOKUP($C26, Mapping!$C$2:$L$181, 10, FALSE) = 0, "", VLOOKUP($C26, Mapping!$C$2:$L$181, 10, FALSE))</f>
        <v/>
      </c>
    </row>
    <row r="27" spans="1:11" x14ac:dyDescent="0.25">
      <c r="A27" s="11" t="s">
        <v>424</v>
      </c>
      <c r="B27" s="31" t="s">
        <v>33</v>
      </c>
      <c r="C27" s="1" t="str">
        <f t="shared" si="0"/>
        <v>File/Lot/Parameters/Param[TestNumber]</v>
      </c>
      <c r="D27" s="1" t="str">
        <f>IF(VLOOKUP($C27, Mapping!$C$2:$L$181, 2, FALSE) = 0, "", VLOOKUP($C27, Mapping!$C$2:$L$181, 2, FALSE))</f>
        <v/>
      </c>
      <c r="E27" s="1" t="str">
        <f>IF(VLOOKUP($C27, Mapping!$C$2:$L$181, 3, FALSE) = 0, "", VLOOKUP($C27, Mapping!$C$2:$L$181, 3, FALSE))</f>
        <v/>
      </c>
      <c r="F27" s="1" t="str">
        <f>IF(VLOOKUP($C27, Mapping!$C$2:$L$181, 4, FALSE) = 0, "", VLOOKUP($C27, Mapping!$C$2:$L$181, 4, FALSE))</f>
        <v>TestNumber (KeyCond)</v>
      </c>
      <c r="G27" s="1" t="str">
        <f>IF(VLOOKUP($C27, Mapping!$C$2:$L$181, 6, FALSE) = 0, "", VLOOKUP($C27, Mapping!$C$2:$L$181, 6, FALSE))</f>
        <v/>
      </c>
      <c r="H27" s="2" t="str">
        <f>IF(VLOOKUP($C27, Mapping!$C$2:$L$181, 7, FALSE) = 0, "", VLOOKUP($C27, Mapping!$C$2:$L$181, 7, FALSE))</f>
        <v/>
      </c>
      <c r="I27" s="2" t="str">
        <f>IF(VLOOKUP($C27, Mapping!$C$2:$L$181, 8, FALSE) = 0, "", VLOOKUP($C27, Mapping!$C$2:$L$181, 8, FALSE))</f>
        <v/>
      </c>
      <c r="J27" s="2" t="str">
        <f>IF(VLOOKUP($C27, Mapping!$C$2:$L$181, 9, FALSE) = 0, "", VLOOKUP($C27, Mapping!$C$2:$L$181, 9, FALSE))</f>
        <v/>
      </c>
      <c r="K27" s="2" t="str">
        <f>IF(VLOOKUP($C27, Mapping!$C$2:$L$181, 10, FALSE) = 0, "", VLOOKUP($C27, Mapping!$C$2:$L$181, 10, FALSE))</f>
        <v/>
      </c>
    </row>
    <row r="28" spans="1:11" x14ac:dyDescent="0.25">
      <c r="A28" s="11" t="s">
        <v>424</v>
      </c>
      <c r="B28" s="31" t="s">
        <v>34</v>
      </c>
      <c r="C28" s="1" t="str">
        <f t="shared" si="0"/>
        <v>File/Lot/Parameters/Param[Units]</v>
      </c>
      <c r="D28" s="1" t="str">
        <f>IF(VLOOKUP($C28, Mapping!$C$2:$L$181, 2, FALSE) = 0, "", VLOOKUP($C28, Mapping!$C$2:$L$181, 2, FALSE))</f>
        <v/>
      </c>
      <c r="E28" s="1" t="str">
        <f>IF(VLOOKUP($C28, Mapping!$C$2:$L$181, 3, FALSE) = 0, "", VLOOKUP($C28, Mapping!$C$2:$L$181, 3, FALSE))</f>
        <v/>
      </c>
      <c r="F28" s="1" t="str">
        <f>IF(VLOOKUP($C28, Mapping!$C$2:$L$181, 4, FALSE) = 0, "", VLOOKUP($C28, Mapping!$C$2:$L$181, 4, FALSE))</f>
        <v/>
      </c>
      <c r="G28" s="1" t="str">
        <f>IF(VLOOKUP($C28, Mapping!$C$2:$L$181, 6, FALSE) = 0, "", VLOOKUP($C28, Mapping!$C$2:$L$181, 6, FALSE))</f>
        <v/>
      </c>
      <c r="H28" s="2" t="str">
        <f>IF(VLOOKUP($C28, Mapping!$C$2:$L$181, 7, FALSE) = 0, "", VLOOKUP($C28, Mapping!$C$2:$L$181, 7, FALSE))</f>
        <v/>
      </c>
      <c r="I28" s="2" t="str">
        <f>IF(VLOOKUP($C28, Mapping!$C$2:$L$181, 8, FALSE) = 0, "", VLOOKUP($C28, Mapping!$C$2:$L$181, 8, FALSE))</f>
        <v/>
      </c>
      <c r="J28" s="2" t="str">
        <f>IF(VLOOKUP($C28, Mapping!$C$2:$L$181, 9, FALSE) = 0, "", VLOOKUP($C28, Mapping!$C$2:$L$181, 9, FALSE))</f>
        <v/>
      </c>
      <c r="K28" s="2" t="str">
        <f>IF(VLOOKUP($C28, Mapping!$C$2:$L$181, 10, FALSE) = 0, "", VLOOKUP($C28, Mapping!$C$2:$L$181, 10, FALSE))</f>
        <v/>
      </c>
    </row>
    <row r="29" spans="1:11" x14ac:dyDescent="0.25">
      <c r="A29" s="11" t="s">
        <v>425</v>
      </c>
      <c r="B29" s="31" t="s">
        <v>35</v>
      </c>
      <c r="C29" s="1" t="str">
        <f t="shared" si="0"/>
        <v>File/Lot/Wafer/ParametricData/Unit[X]</v>
      </c>
      <c r="D29" s="1" t="str">
        <f>IF(VLOOKUP($C29, Mapping!$C$2:$L$181, 2, FALSE) = 0, "", VLOOKUP($C29, Mapping!$C$2:$L$181, 2, FALSE))</f>
        <v/>
      </c>
      <c r="E29" s="1" t="str">
        <f>IF(VLOOKUP($C29, Mapping!$C$2:$L$181, 3, FALSE) = 0, "", VLOOKUP($C29, Mapping!$C$2:$L$181, 3, FALSE))</f>
        <v/>
      </c>
      <c r="F29" s="1" t="str">
        <f>IF(VLOOKUP($C29, Mapping!$C$2:$L$181, 4, FALSE) = 0, "", VLOOKUP($C29, Mapping!$C$2:$L$181, 4, FALSE))</f>
        <v>Wafer Original die x/y coordinate</v>
      </c>
      <c r="G29" s="1" t="str">
        <f>IF(VLOOKUP($C29, Mapping!$C$2:$L$181, 6, FALSE) = 0, "", VLOOKUP($C29, Mapping!$C$2:$L$181, 6, FALSE))</f>
        <v>DbDieXYIndexes</v>
      </c>
      <c r="H29" s="2" t="str">
        <f>IF(VLOOKUP($C29, Mapping!$C$2:$L$181, 7, FALSE) = 0, "", VLOOKUP($C29, Mapping!$C$2:$L$181, 7, FALSE))</f>
        <v>res index</v>
      </c>
      <c r="I29" s="2" t="str">
        <f>IF(VLOOKUP($C29, Mapping!$C$2:$L$181, 8, FALSE) = 0, "", VLOOKUP($C29, Mapping!$C$2:$L$181, 8, FALSE))</f>
        <v>key</v>
      </c>
      <c r="J29" s="2" t="str">
        <f>IF(VLOOKUP($C29, Mapping!$C$2:$L$181, 9, FALSE) = 0, "", VLOOKUP($C29, Mapping!$C$2:$L$181, 9, FALSE))</f>
        <v/>
      </c>
      <c r="K29" s="2" t="str">
        <f>IF(VLOOKUP($C29, Mapping!$C$2:$L$181, 10, FALSE) = 0, "", VLOOKUP($C29, Mapping!$C$2:$L$181, 10, FALSE))</f>
        <v/>
      </c>
    </row>
    <row r="30" spans="1:11" x14ac:dyDescent="0.25">
      <c r="A30" s="11" t="s">
        <v>425</v>
      </c>
      <c r="B30" s="31" t="s">
        <v>0</v>
      </c>
      <c r="C30" s="1" t="str">
        <f t="shared" si="0"/>
        <v>File/Lot/Wafer/ParametricData/Unit[Y]</v>
      </c>
      <c r="D30" s="1" t="str">
        <f>IF(VLOOKUP($C30, Mapping!$C$2:$L$181, 2, FALSE) = 0, "", VLOOKUP($C30, Mapping!$C$2:$L$181, 2, FALSE))</f>
        <v/>
      </c>
      <c r="E30" s="1" t="str">
        <f>IF(VLOOKUP($C30, Mapping!$C$2:$L$181, 3, FALSE) = 0, "", VLOOKUP($C30, Mapping!$C$2:$L$181, 3, FALSE))</f>
        <v/>
      </c>
      <c r="F30" s="1" t="str">
        <f>IF(VLOOKUP($C30, Mapping!$C$2:$L$181, 4, FALSE) = 0, "", VLOOKUP($C30, Mapping!$C$2:$L$181, 4, FALSE))</f>
        <v>Wafer Original die x/y coordinate</v>
      </c>
      <c r="G30" s="1" t="str">
        <f>IF(VLOOKUP($C30, Mapping!$C$2:$L$181, 6, FALSE) = 0, "", VLOOKUP($C30, Mapping!$C$2:$L$181, 6, FALSE))</f>
        <v>DbDieXYIndexes</v>
      </c>
      <c r="H30" s="2" t="str">
        <f>IF(VLOOKUP($C30, Mapping!$C$2:$L$181, 7, FALSE) = 0, "", VLOOKUP($C30, Mapping!$C$2:$L$181, 7, FALSE))</f>
        <v>res index</v>
      </c>
      <c r="I30" s="2" t="str">
        <f>IF(VLOOKUP($C30, Mapping!$C$2:$L$181, 8, FALSE) = 0, "", VLOOKUP($C30, Mapping!$C$2:$L$181, 8, FALSE))</f>
        <v>key</v>
      </c>
      <c r="J30" s="2" t="str">
        <f>IF(VLOOKUP($C30, Mapping!$C$2:$L$181, 9, FALSE) = 0, "", VLOOKUP($C30, Mapping!$C$2:$L$181, 9, FALSE))</f>
        <v/>
      </c>
      <c r="K30" s="2" t="str">
        <f>IF(VLOOKUP($C30, Mapping!$C$2:$L$181, 10, FALSE) = 0, "", VLOOKUP($C30, Mapping!$C$2:$L$181, 10, FALSE))</f>
        <v/>
      </c>
    </row>
    <row r="31" spans="1:11" x14ac:dyDescent="0.25">
      <c r="A31" s="11" t="s">
        <v>425</v>
      </c>
      <c r="B31" s="31" t="s">
        <v>36</v>
      </c>
      <c r="C31" s="1" t="str">
        <f t="shared" si="0"/>
        <v>File/Lot/Wafer/ParametricData/Unit[HardBin]</v>
      </c>
      <c r="D31" s="1" t="str">
        <f>IF(VLOOKUP($C31, Mapping!$C$2:$L$181, 2, FALSE) = 0, "", VLOOKUP($C31, Mapping!$C$2:$L$181, 2, FALSE))</f>
        <v/>
      </c>
      <c r="E31" s="1" t="str">
        <f>IF(VLOOKUP($C31, Mapping!$C$2:$L$181, 3, FALSE) = 0, "", VLOOKUP($C31, Mapping!$C$2:$L$181, 3, FALSE))</f>
        <v/>
      </c>
      <c r="F31" s="1" t="str">
        <f>IF(VLOOKUP($C31, Mapping!$C$2:$L$181, 4, FALSE) = 0, "", VLOOKUP($C31, Mapping!$C$2:$L$181, 4, FALSE))</f>
        <v>Hardbin number</v>
      </c>
      <c r="G31" s="1" t="str">
        <f>IF(VLOOKUP($C31, Mapping!$C$2:$L$181, 6, FALSE) = 0, "", VLOOKUP($C31, Mapping!$C$2:$L$181, 6, FALSE))</f>
        <v>HardBin (Index)</v>
      </c>
      <c r="H31" s="2" t="str">
        <f>IF(VLOOKUP($C31, Mapping!$C$2:$L$181, 7, FALSE) = 0, "", VLOOKUP($C31, Mapping!$C$2:$L$181, 7, FALSE))</f>
        <v>res index</v>
      </c>
      <c r="I31" s="2" t="str">
        <f>IF(VLOOKUP($C31, Mapping!$C$2:$L$181, 8, FALSE) = 0, "", VLOOKUP($C31, Mapping!$C$2:$L$181, 8, FALSE))</f>
        <v>non-key</v>
      </c>
      <c r="J31" s="2" t="str">
        <f>IF(VLOOKUP($C31, Mapping!$C$2:$L$181, 9, FALSE) = 0, "", VLOOKUP($C31, Mapping!$C$2:$L$181, 9, FALSE))</f>
        <v/>
      </c>
      <c r="K31" s="2" t="str">
        <f>IF(VLOOKUP($C31, Mapping!$C$2:$L$181, 10, FALSE) = 0, "", VLOOKUP($C31, Mapping!$C$2:$L$181, 10, FALSE))</f>
        <v/>
      </c>
    </row>
    <row r="32" spans="1:11" x14ac:dyDescent="0.25">
      <c r="A32" s="11" t="s">
        <v>425</v>
      </c>
      <c r="B32" s="31" t="s">
        <v>37</v>
      </c>
      <c r="C32" s="1" t="str">
        <f t="shared" si="0"/>
        <v>File/Lot/Wafer/ParametricData/Unit[SoftBin]</v>
      </c>
      <c r="D32" s="1" t="str">
        <f>IF(VLOOKUP($C32, Mapping!$C$2:$L$181, 2, FALSE) = 0, "", VLOOKUP($C32, Mapping!$C$2:$L$181, 2, FALSE))</f>
        <v/>
      </c>
      <c r="E32" s="1" t="str">
        <f>IF(VLOOKUP($C32, Mapping!$C$2:$L$181, 3, FALSE) = 0, "", VLOOKUP($C32, Mapping!$C$2:$L$181, 3, FALSE))</f>
        <v/>
      </c>
      <c r="F32" s="1" t="str">
        <f>IF(VLOOKUP($C32, Mapping!$C$2:$L$181, 4, FALSE) = 0, "", VLOOKUP($C32, Mapping!$C$2:$L$181, 4, FALSE))</f>
        <v>Softbin number</v>
      </c>
      <c r="G32" s="1" t="str">
        <f>IF(VLOOKUP($C32, Mapping!$C$2:$L$181, 6, FALSE) = 0, "", VLOOKUP($C32, Mapping!$C$2:$L$181, 6, FALSE))</f>
        <v>SoftBin (Index)</v>
      </c>
      <c r="H32" s="2" t="str">
        <f>IF(VLOOKUP($C32, Mapping!$C$2:$L$181, 7, FALSE) = 0, "", VLOOKUP($C32, Mapping!$C$2:$L$181, 7, FALSE))</f>
        <v>res index</v>
      </c>
      <c r="I32" s="2" t="str">
        <f>IF(VLOOKUP($C32, Mapping!$C$2:$L$181, 8, FALSE) = 0, "", VLOOKUP($C32, Mapping!$C$2:$L$181, 8, FALSE))</f>
        <v>non-key</v>
      </c>
      <c r="J32" s="2" t="str">
        <f>IF(VLOOKUP($C32, Mapping!$C$2:$L$181, 9, FALSE) = 0, "", VLOOKUP($C32, Mapping!$C$2:$L$181, 9, FALSE))</f>
        <v/>
      </c>
      <c r="K32" s="2" t="str">
        <f>IF(VLOOKUP($C32, Mapping!$C$2:$L$181, 10, FALSE) = 0, "", VLOOKUP($C32, Mapping!$C$2:$L$181, 10, FALSE))</f>
        <v/>
      </c>
    </row>
    <row r="33" spans="1:11" x14ac:dyDescent="0.25">
      <c r="A33" s="11" t="s">
        <v>425</v>
      </c>
      <c r="B33" s="31" t="s">
        <v>46</v>
      </c>
      <c r="C33" s="20" t="str">
        <f t="shared" si="0"/>
        <v>File/Lot/Wafer/ParametricData/Unit[Site]</v>
      </c>
      <c r="D33" s="20" t="str">
        <f>IF(VLOOKUP($C33, Mapping!$C$2:$L$181, 2, FALSE) = 0, "", VLOOKUP($C33, Mapping!$C$2:$L$181, 2, FALSE))</f>
        <v/>
      </c>
      <c r="E33" s="20" t="str">
        <f>IF(VLOOKUP($C33, Mapping!$C$2:$L$181, 3, FALSE) = 0, "", VLOOKUP($C33, Mapping!$C$2:$L$181, 3, FALSE))</f>
        <v/>
      </c>
      <c r="F33" s="20" t="str">
        <f>IF(VLOOKUP($C33, Mapping!$C$2:$L$181, 4, FALSE) = 0, "", VLOOKUP($C33, Mapping!$C$2:$L$181, 4, FALSE))</f>
        <v>Test Site ID</v>
      </c>
      <c r="G33" s="20" t="str">
        <f>IF(VLOOKUP($C33, Mapping!$C$2:$L$181, 6, FALSE) = 0, "", VLOOKUP($C33, Mapping!$C$2:$L$181, 6, FALSE))</f>
        <v>TestSite (Index)</v>
      </c>
      <c r="H33" s="30" t="str">
        <f>IF(VLOOKUP($C33, Mapping!$C$2:$L$181, 7, FALSE) = 0, "", VLOOKUP($C33, Mapping!$C$2:$L$181, 7, FALSE))</f>
        <v/>
      </c>
      <c r="I33" s="30" t="str">
        <f>IF(VLOOKUP($C33, Mapping!$C$2:$L$181, 8, FALSE) = 0, "", VLOOKUP($C33, Mapping!$C$2:$L$181, 8, FALSE))</f>
        <v/>
      </c>
      <c r="J33" s="30" t="str">
        <f>IF(VLOOKUP($C33, Mapping!$C$2:$L$181, 9, FALSE) = 0, "", VLOOKUP($C33, Mapping!$C$2:$L$181, 9, FALSE))</f>
        <v/>
      </c>
      <c r="K33" s="21" t="str">
        <f>IF(VLOOKUP($C33, Mapping!$C$2:$L$181, 10, FALSE) = 0, "", VLOOKUP($C33, Mapping!$C$2:$L$181, 10, FALSE))</f>
        <v/>
      </c>
    </row>
    <row r="34" spans="1:11" x14ac:dyDescent="0.25">
      <c r="A34" s="11"/>
      <c r="B34" s="1" t="s">
        <v>13</v>
      </c>
      <c r="C34" s="20" t="str">
        <f t="shared" si="0"/>
        <v>[Program Group]</v>
      </c>
      <c r="D34" s="20" t="str">
        <f>IF(VLOOKUP($C34, Mapping!$C$2:$L$181, 2, FALSE) = 0, "", VLOOKUP($C34, Mapping!$C$2:$L$181, 2, FALSE))</f>
        <v>ProgramGroup</v>
      </c>
      <c r="E34" s="20" t="str">
        <f>IF(VLOOKUP($C34, Mapping!$C$2:$L$181, 3, FALSE) = 0, "", VLOOKUP($C34, Mapping!$C$2:$L$181, 3, FALSE))</f>
        <v/>
      </c>
      <c r="F34" s="20" t="str">
        <f>IF(VLOOKUP($C34, Mapping!$C$2:$L$181, 4, FALSE) = 0, "", VLOOKUP($C34, Mapping!$C$2:$L$181, 4, FALSE))</f>
        <v>Program Group</v>
      </c>
      <c r="G34" s="20" t="str">
        <f>IF(VLOOKUP($C34, Mapping!$C$2:$L$181, 6, FALSE) = 0, "", VLOOKUP($C34, Mapping!$C$2:$L$181, 6, FALSE))</f>
        <v>vDbProgGroup</v>
      </c>
      <c r="H34" s="30" t="str">
        <f>IF(VLOOKUP($C34, Mapping!$C$2:$L$181, 7, FALSE) = 0, "", VLOOKUP($C34, Mapping!$C$2:$L$181, 7, FALSE))</f>
        <v/>
      </c>
      <c r="I34" s="30" t="str">
        <f>IF(VLOOKUP($C34, Mapping!$C$2:$L$181, 8, FALSE) = 0, "", VLOOKUP($C34, Mapping!$C$2:$L$181, 8, FALSE))</f>
        <v/>
      </c>
      <c r="J34" s="30" t="str">
        <f>IF(VLOOKUP($C34, Mapping!$C$2:$L$181, 9, FALSE) = 0, "", VLOOKUP($C34, Mapping!$C$2:$L$181, 9, FALSE))</f>
        <v/>
      </c>
      <c r="K34" s="21" t="str">
        <f>IF(VLOOKUP($C34, Mapping!$C$2:$L$181, 10, FALSE) = 0, "", VLOOKUP($C34, Mapping!$C$2:$L$181, 10, FALSE))</f>
        <v>Constant: "Probe Parametric"</v>
      </c>
    </row>
    <row r="35" spans="1:11" x14ac:dyDescent="0.25">
      <c r="A35" s="11"/>
      <c r="B35" s="1" t="s">
        <v>52</v>
      </c>
      <c r="C35" s="20" t="str">
        <f t="shared" si="0"/>
        <v>[Area]</v>
      </c>
      <c r="D35" s="20" t="str">
        <f>IF(VLOOKUP($C35, Mapping!$C$2:$L$181, 2, FALSE) = 0, "", VLOOKUP($C35, Mapping!$C$2:$L$181, 2, FALSE))</f>
        <v/>
      </c>
      <c r="E35" s="20" t="str">
        <f>IF(VLOOKUP($C35, Mapping!$C$2:$L$181, 3, FALSE) = 0, "", VLOOKUP($C35, Mapping!$C$2:$L$181, 3, FALSE))</f>
        <v/>
      </c>
      <c r="F35" s="20" t="str">
        <f>IF(VLOOKUP($C35, Mapping!$C$2:$L$181, 4, FALSE) = 0, "", VLOOKUP($C35, Mapping!$C$2:$L$181, 4, FALSE))</f>
        <v>Area</v>
      </c>
      <c r="G35" s="20" t="str">
        <f>IF(VLOOKUP($C35, Mapping!$C$2:$L$181, 6, FALSE) = 0, "", VLOOKUP($C35, Mapping!$C$2:$L$181, 6, FALSE))</f>
        <v>DbMetaData("Area", vArea)</v>
      </c>
      <c r="H35" s="30" t="str">
        <f>IF(VLOOKUP($C35, Mapping!$C$2:$L$181, 7, FALSE) = 0, "", VLOOKUP($C35, Mapping!$C$2:$L$181, 7, FALSE))</f>
        <v>op_log linked index 1</v>
      </c>
      <c r="I35" s="30" t="str">
        <f>IF(VLOOKUP($C35, Mapping!$C$2:$L$181, 8, FALSE) = 0, "", VLOOKUP($C35, Mapping!$C$2:$L$181, 8, FALSE))</f>
        <v/>
      </c>
      <c r="J35" s="30" t="str">
        <f>IF(VLOOKUP($C35, Mapping!$C$2:$L$181, 9, FALSE) = 0, "", VLOOKUP($C35, Mapping!$C$2:$L$181, 9, FALSE))</f>
        <v/>
      </c>
      <c r="K35" s="21" t="str">
        <f>IF(VLOOKUP($C35, Mapping!$C$2:$L$181, 10, FALSE) = 0, "", VLOOKUP($C35, Mapping!$C$2:$L$181, 10, FALSE))</f>
        <v>Constant: "Probe"</v>
      </c>
    </row>
    <row r="36" spans="1:11" x14ac:dyDescent="0.25">
      <c r="A36" s="11"/>
      <c r="B36" s="1" t="s">
        <v>276</v>
      </c>
      <c r="C36" s="22" t="str">
        <f t="shared" si="0"/>
        <v>[Reticle Id]</v>
      </c>
      <c r="D36" s="20" t="str">
        <f>IF(VLOOKUP($C36, Mapping!$C$2:$L$181, 2, FALSE) = 0, "", VLOOKUP($C36, Mapping!$C$2:$L$181, 2, FALSE))</f>
        <v/>
      </c>
      <c r="E36" s="20" t="str">
        <f>IF(VLOOKUP($C36, Mapping!$C$2:$L$181, 3, FALSE) = 0, "", VLOOKUP($C36, Mapping!$C$2:$L$181, 3, FALSE))</f>
        <v/>
      </c>
      <c r="F36" s="20" t="str">
        <f>IF(VLOOKUP($C36, Mapping!$C$2:$L$181, 4, FALSE) = 0, "", VLOOKUP($C36, Mapping!$C$2:$L$181, 4, FALSE))</f>
        <v>reticle_id</v>
      </c>
      <c r="G36" s="20" t="str">
        <f>IF(VLOOKUP($C36, Mapping!$C$2:$L$181, 6, FALSE) = 0, "", VLOOKUP($C36, Mapping!$C$2:$L$181, 6, FALSE))</f>
        <v>(Index)</v>
      </c>
      <c r="H36" s="30" t="str">
        <f>IF(VLOOKUP($C36, Mapping!$C$2:$L$181, 7, FALSE) = 0, "", VLOOKUP($C36, Mapping!$C$2:$L$181, 7, FALSE))</f>
        <v>res index</v>
      </c>
      <c r="I36" s="30" t="str">
        <f>IF(VLOOKUP($C36, Mapping!$C$2:$L$181, 8, FALSE) = 0, "", VLOOKUP($C36, Mapping!$C$2:$L$181, 8, FALSE))</f>
        <v>non-key</v>
      </c>
      <c r="J36" s="30" t="str">
        <f>IF(VLOOKUP($C36, Mapping!$C$2:$L$181, 9, FALSE) = 0, "", VLOOKUP($C36, Mapping!$C$2:$L$181, 9, FALSE))</f>
        <v>String</v>
      </c>
      <c r="K36" s="21" t="str">
        <f>IF(VLOOKUP($C36, Mapping!$C$2:$L$181, 10, FALSE) = 0, "", VLOOKUP($C36, Mapping!$C$2:$L$181, 10, FALSE))</f>
        <v>Set to -1 by default if reticle coordinates are not available.</v>
      </c>
    </row>
    <row r="37" spans="1:11" x14ac:dyDescent="0.25">
      <c r="A37" s="11" t="s">
        <v>422</v>
      </c>
      <c r="B37" s="3" t="s">
        <v>289</v>
      </c>
      <c r="C37" s="20" t="str">
        <f t="shared" si="0"/>
        <v>File/Lot[Tester/Tool ID]</v>
      </c>
      <c r="D37" s="20" t="str">
        <f>IF(VLOOKUP($C37, Mapping!$C$2:$L$181, 2, FALSE) = 0, "", VLOOKUP($C37, Mapping!$C$2:$L$181, 2, FALSE))</f>
        <v>MeasuringEquipment</v>
      </c>
      <c r="E37" s="20" t="str">
        <f>IF(VLOOKUP($C37, Mapping!$C$2:$L$181, 3, FALSE) = 0, "", VLOOKUP($C37, Mapping!$C$2:$L$181, 3, FALSE))</f>
        <v/>
      </c>
      <c r="F37" s="20" t="str">
        <f>IF(VLOOKUP($C37, Mapping!$C$2:$L$181, 4, FALSE) = 0, "", VLOOKUP($C37, Mapping!$C$2:$L$181, 4, FALSE))</f>
        <v>Tester/Tool ID</v>
      </c>
      <c r="G37" s="20" t="str">
        <f>IF(VLOOKUP($C37, Mapping!$C$2:$L$181, 6, FALSE) = 0, "", VLOOKUP($C37, Mapping!$C$2:$L$181, 6, FALSE))</f>
        <v>vDbEquip1</v>
      </c>
      <c r="H37" s="30" t="str">
        <f>IF(VLOOKUP($C37, Mapping!$C$2:$L$181, 7, FALSE) = 0, "", VLOOKUP($C37, Mapping!$C$2:$L$181, 7, FALSE))</f>
        <v>Equip[1]</v>
      </c>
      <c r="I37" s="30" t="str">
        <f>IF(VLOOKUP($C37, Mapping!$C$2:$L$181, 8, FALSE) = 0, "", VLOOKUP($C37, Mapping!$C$2:$L$181, 8, FALSE))</f>
        <v/>
      </c>
      <c r="J37" s="30" t="str">
        <f>IF(VLOOKUP($C37, Mapping!$C$2:$L$181, 9, FALSE) = 0, "", VLOOKUP($C37, Mapping!$C$2:$L$181, 9, FALSE))</f>
        <v/>
      </c>
      <c r="K37" s="21" t="str">
        <f>IF(VLOOKUP($C37, Mapping!$C$2:$L$181, 10, FALSE) = 0, "", VLOOKUP($C37, Mapping!$C$2:$L$181, 10, FALSE))</f>
        <v/>
      </c>
    </row>
    <row r="38" spans="1:11" x14ac:dyDescent="0.25">
      <c r="A38" s="10" t="s">
        <v>429</v>
      </c>
      <c r="B38" s="3" t="s">
        <v>248</v>
      </c>
      <c r="C38" s="20" t="str">
        <f t="shared" si="0"/>
        <v>File/Lot/Sites/Site[HandlerId]</v>
      </c>
      <c r="D38" s="20" t="str">
        <f>IF(VLOOKUP($C38, Mapping!$C$2:$L$181, 2, FALSE) = 0, "", VLOOKUP($C38, Mapping!$C$2:$L$181, 2, FALSE))</f>
        <v/>
      </c>
      <c r="E38" s="20" t="str">
        <f>IF(VLOOKUP($C38, Mapping!$C$2:$L$181, 3, FALSE) = 0, "", VLOOKUP($C38, Mapping!$C$2:$L$181, 3, FALSE))</f>
        <v>SDR.HAND_ID</v>
      </c>
      <c r="F38" s="20" t="str">
        <f>IF(VLOOKUP($C38, Mapping!$C$2:$L$181, 4, FALSE) = 0, "", VLOOKUP($C38, Mapping!$C$2:$L$181, 4, FALSE))</f>
        <v>Prober ID</v>
      </c>
      <c r="G38" s="20" t="str">
        <f>IF(VLOOKUP($C38, Mapping!$C$2:$L$181, 6, FALSE) = 0, "", VLOOKUP($C38, Mapping!$C$2:$L$181, 6, FALSE))</f>
        <v>vDbEquip2</v>
      </c>
      <c r="H38" s="30" t="str">
        <f>IF(VLOOKUP($C38, Mapping!$C$2:$L$181, 7, FALSE) = 0, "", VLOOKUP($C38, Mapping!$C$2:$L$181, 7, FALSE))</f>
        <v>Equip[2]</v>
      </c>
      <c r="I38" s="30" t="str">
        <f>IF(VLOOKUP($C38, Mapping!$C$2:$L$181, 8, FALSE) = 0, "", VLOOKUP($C38, Mapping!$C$2:$L$181, 8, FALSE))</f>
        <v/>
      </c>
      <c r="J38" s="30" t="str">
        <f>IF(VLOOKUP($C38, Mapping!$C$2:$L$181, 9, FALSE) = 0, "", VLOOKUP($C38, Mapping!$C$2:$L$181, 9, FALSE))</f>
        <v/>
      </c>
      <c r="K38" s="21" t="str">
        <f>IF(VLOOKUP($C38, Mapping!$C$2:$L$181, 10, FALSE) = 0, "", VLOOKUP($C38, Mapping!$C$2:$L$181, 10, FALSE))</f>
        <v/>
      </c>
    </row>
    <row r="39" spans="1:11" x14ac:dyDescent="0.25">
      <c r="A39" s="11"/>
      <c r="B39" s="3" t="s">
        <v>326</v>
      </c>
      <c r="C39" s="20" t="str">
        <f t="shared" si="0"/>
        <v>[Probe ID Type]</v>
      </c>
      <c r="D39" s="20" t="str">
        <f>IF(VLOOKUP($C39, Mapping!$C$2:$L$181, 2, FALSE) = 0, "", VLOOKUP($C39, Mapping!$C$2:$L$181, 2, FALSE))</f>
        <v/>
      </c>
      <c r="E39" s="20" t="str">
        <f>IF(VLOOKUP($C39, Mapping!$C$2:$L$181, 3, FALSE) = 0, "", VLOOKUP($C39, Mapping!$C$2:$L$181, 3, FALSE))</f>
        <v>SDR.HAND_TYP</v>
      </c>
      <c r="F39" s="20" t="str">
        <f>IF(VLOOKUP($C39, Mapping!$C$2:$L$181, 4, FALSE) = 0, "", VLOOKUP($C39, Mapping!$C$2:$L$181, 4, FALSE))</f>
        <v>Prober ID Type</v>
      </c>
      <c r="G39" s="20" t="str">
        <f>IF(VLOOKUP($C39, Mapping!$C$2:$L$181, 6, FALSE) = 0, "", VLOOKUP($C39, Mapping!$C$2:$L$181, 6, FALSE))</f>
        <v/>
      </c>
      <c r="H39" s="30" t="str">
        <f>IF(VLOOKUP($C39, Mapping!$C$2:$L$181, 7, FALSE) = 0, "", VLOOKUP($C39, Mapping!$C$2:$L$181, 7, FALSE))</f>
        <v>Equip[2] Type</v>
      </c>
      <c r="I39" s="30" t="str">
        <f>IF(VLOOKUP($C39, Mapping!$C$2:$L$181, 8, FALSE) = 0, "", VLOOKUP($C39, Mapping!$C$2:$L$181, 8, FALSE))</f>
        <v/>
      </c>
      <c r="J39" s="30" t="str">
        <f>IF(VLOOKUP($C39, Mapping!$C$2:$L$181, 9, FALSE) = 0, "", VLOOKUP($C39, Mapping!$C$2:$L$181, 9, FALSE))</f>
        <v/>
      </c>
      <c r="K39" s="21" t="str">
        <f>IF(VLOOKUP($C39, Mapping!$C$2:$L$181, 10, FALSE) = 0, "", VLOOKUP($C39, Mapping!$C$2:$L$181, 10, FALSE))</f>
        <v/>
      </c>
    </row>
    <row r="40" spans="1:11" x14ac:dyDescent="0.25">
      <c r="A40" s="10" t="s">
        <v>429</v>
      </c>
      <c r="B40" s="3" t="s">
        <v>250</v>
      </c>
      <c r="C40" s="20" t="str">
        <f t="shared" si="0"/>
        <v>File/Lot/Sites/Site[CardId]</v>
      </c>
      <c r="D40" s="20" t="str">
        <f>IF(VLOOKUP($C40, Mapping!$C$2:$L$181, 2, FALSE) = 0, "", VLOOKUP($C40, Mapping!$C$2:$L$181, 2, FALSE))</f>
        <v/>
      </c>
      <c r="E40" s="20" t="str">
        <f>IF(VLOOKUP($C40, Mapping!$C$2:$L$181, 3, FALSE) = 0, "", VLOOKUP($C40, Mapping!$C$2:$L$181, 3, FALSE))</f>
        <v>SDR.CARD_ID</v>
      </c>
      <c r="F40" s="20" t="str">
        <f>IF(VLOOKUP($C40, Mapping!$C$2:$L$181, 4, FALSE) = 0, "", VLOOKUP($C40, Mapping!$C$2:$L$181, 4, FALSE))</f>
        <v>Probe Card</v>
      </c>
      <c r="G40" s="20" t="str">
        <f>IF(VLOOKUP($C40, Mapping!$C$2:$L$181, 6, FALSE) = 0, "", VLOOKUP($C40, Mapping!$C$2:$L$181, 6, FALSE))</f>
        <v>vDbEquip3</v>
      </c>
      <c r="H40" s="30" t="str">
        <f>IF(VLOOKUP($C40, Mapping!$C$2:$L$181, 7, FALSE) = 0, "", VLOOKUP($C40, Mapping!$C$2:$L$181, 7, FALSE))</f>
        <v>Equip[3]</v>
      </c>
      <c r="I40" s="30" t="str">
        <f>IF(VLOOKUP($C40, Mapping!$C$2:$L$181, 8, FALSE) = 0, "", VLOOKUP($C40, Mapping!$C$2:$L$181, 8, FALSE))</f>
        <v/>
      </c>
      <c r="J40" s="30" t="str">
        <f>IF(VLOOKUP($C40, Mapping!$C$2:$L$181, 9, FALSE) = 0, "", VLOOKUP($C40, Mapping!$C$2:$L$181, 9, FALSE))</f>
        <v/>
      </c>
      <c r="K40" s="21" t="str">
        <f>IF(VLOOKUP($C40, Mapping!$C$2:$L$181, 10, FALSE) = 0, "", VLOOKUP($C40, Mapping!$C$2:$L$181, 10, FALSE))</f>
        <v/>
      </c>
    </row>
    <row r="41" spans="1:11" x14ac:dyDescent="0.25">
      <c r="A41" s="11"/>
      <c r="B41" s="3" t="s">
        <v>110</v>
      </c>
      <c r="C41" s="20" t="str">
        <f t="shared" si="0"/>
        <v>[Probe Card Type]</v>
      </c>
      <c r="D41" s="20" t="str">
        <f>IF(VLOOKUP($C41, Mapping!$C$2:$L$181, 2, FALSE) = 0, "", VLOOKUP($C41, Mapping!$C$2:$L$181, 2, FALSE))</f>
        <v/>
      </c>
      <c r="E41" s="20" t="str">
        <f>IF(VLOOKUP($C41, Mapping!$C$2:$L$181, 3, FALSE) = 0, "", VLOOKUP($C41, Mapping!$C$2:$L$181, 3, FALSE))</f>
        <v>SDR.CARD_TYP</v>
      </c>
      <c r="F41" s="20" t="str">
        <f>IF(VLOOKUP($C41, Mapping!$C$2:$L$181, 4, FALSE) = 0, "", VLOOKUP($C41, Mapping!$C$2:$L$181, 4, FALSE))</f>
        <v>Probe Card Type</v>
      </c>
      <c r="G41" s="20" t="str">
        <f>IF(VLOOKUP($C41, Mapping!$C$2:$L$181, 6, FALSE) = 0, "", VLOOKUP($C41, Mapping!$C$2:$L$181, 6, FALSE))</f>
        <v/>
      </c>
      <c r="H41" s="30" t="str">
        <f>IF(VLOOKUP($C41, Mapping!$C$2:$L$181, 7, FALSE) = 0, "", VLOOKUP($C41, Mapping!$C$2:$L$181, 7, FALSE))</f>
        <v>Equip[3] Type</v>
      </c>
      <c r="I41" s="30" t="str">
        <f>IF(VLOOKUP($C41, Mapping!$C$2:$L$181, 8, FALSE) = 0, "", VLOOKUP($C41, Mapping!$C$2:$L$181, 8, FALSE))</f>
        <v/>
      </c>
      <c r="J41" s="30" t="str">
        <f>IF(VLOOKUP($C41, Mapping!$C$2:$L$181, 9, FALSE) = 0, "", VLOOKUP($C41, Mapping!$C$2:$L$181, 9, FALSE))</f>
        <v/>
      </c>
      <c r="K41" s="21" t="str">
        <f>IF(VLOOKUP($C41, Mapping!$C$2:$L$181, 10, FALSE) = 0, "", VLOOKUP($C41, Mapping!$C$2:$L$181, 10, FALSE))</f>
        <v/>
      </c>
    </row>
    <row r="42" spans="1:11" x14ac:dyDescent="0.25">
      <c r="A42" s="10" t="s">
        <v>432</v>
      </c>
      <c r="B42" s="3" t="s">
        <v>433</v>
      </c>
      <c r="C42" s="20" t="str">
        <f>IF(NOT(ISBLANK(B42)),_xlfn.CONCAT(A42,"[",B42,"]"),"")</f>
        <v>DwPlm[PAL4_CD]</v>
      </c>
      <c r="D42" s="20" t="str">
        <f>IF(VLOOKUP($C42, Mapping!$C$2:$L$181, 2, FALSE) = 0, "", VLOOKUP($C42, Mapping!$C$2:$L$181, 2, FALSE))</f>
        <v>Pti4Pal</v>
      </c>
      <c r="E42" s="20" t="str">
        <f>IF(VLOOKUP($C42, Mapping!$C$2:$L$181, 3, FALSE) = 0, "", VLOOKUP($C42, Mapping!$C$2:$L$181, 3, FALSE))</f>
        <v/>
      </c>
      <c r="F42" s="20" t="str">
        <f>IF(VLOOKUP($C42, Mapping!$C$2:$L$181, 4, FALSE) = 0, "", VLOOKUP($C42, Mapping!$C$2:$L$181, 4, FALSE))</f>
        <v>PTI4/PAL</v>
      </c>
      <c r="G42" s="20" t="str">
        <f>IF(VLOOKUP($C42, Mapping!$C$2:$L$181, 6, FALSE) = 0, "", VLOOKUP($C42, Mapping!$C$2:$L$181, 6, FALSE))</f>
        <v>DbMetaData("PTI4/PAL", vPti4Pal)</v>
      </c>
      <c r="H42" s="30" t="str">
        <f>IF(VLOOKUP($C42, Mapping!$C$2:$L$181, 7, FALSE) = 0, "", VLOOKUP($C42, Mapping!$C$2:$L$181, 7, FALSE))</f>
        <v>op_log linked index 4</v>
      </c>
      <c r="I42" s="30" t="str">
        <f>IF(VLOOKUP($C42, Mapping!$C$2:$L$181, 8, FALSE) = 0, "", VLOOKUP($C42, Mapping!$C$2:$L$181, 8, FALSE))</f>
        <v/>
      </c>
      <c r="J42" s="30" t="str">
        <f>IF(VLOOKUP($C42, Mapping!$C$2:$L$181, 9, FALSE) = 0, "", VLOOKUP($C42, Mapping!$C$2:$L$181, 9, FALSE))</f>
        <v/>
      </c>
      <c r="K42" s="21" t="str">
        <f>IF(VLOOKUP($C42, Mapping!$C$2:$L$181, 10, FALSE) = 0, "", VLOOKUP($C42, Mapping!$C$2:$L$181, 10, FALSE))</f>
        <v>LotG or Agile; Eric</v>
      </c>
    </row>
    <row r="43" spans="1:11" x14ac:dyDescent="0.25">
      <c r="A43" s="1" t="s">
        <v>432</v>
      </c>
      <c r="B43" s="4" t="s">
        <v>437</v>
      </c>
      <c r="C43" s="20" t="str">
        <f t="shared" si="0"/>
        <v>DwPlm[WFR_FAB_MASK_CONFIG_ID]</v>
      </c>
      <c r="D43" s="20" t="str">
        <f>IF(VLOOKUP($C43, Mapping!$C$2:$L$181, 2, FALSE) = 0, "", VLOOKUP($C43, Mapping!$C$2:$L$181, 2, FALSE))</f>
        <v>MaskSet</v>
      </c>
      <c r="E43" s="20" t="str">
        <f>IF(VLOOKUP($C43, Mapping!$C$2:$L$181, 3, FALSE) = 0, "", VLOOKUP($C43, Mapping!$C$2:$L$181, 3, FALSE))</f>
        <v/>
      </c>
      <c r="F43" s="20" t="str">
        <f>IF(VLOOKUP($C43, Mapping!$C$2:$L$181, 4, FALSE) = 0, "", VLOOKUP($C43, Mapping!$C$2:$L$181, 4, FALSE))</f>
        <v>Mask / Mask Set</v>
      </c>
      <c r="G43" s="20" t="str">
        <f>IF(VLOOKUP($C43, Mapping!$C$2:$L$181, 6, FALSE) = 0, "", VLOOKUP($C43, Mapping!$C$2:$L$181, 6, FALSE))</f>
        <v>DbMetaData("Mask / Mask Set", vMaskMaskSet)</v>
      </c>
      <c r="H43" s="30" t="str">
        <f>IF(VLOOKUP($C43, Mapping!$C$2:$L$181, 7, FALSE) = 0, "", VLOOKUP($C43, Mapping!$C$2:$L$181, 7, FALSE))</f>
        <v>op_log linked index 21</v>
      </c>
      <c r="I43" s="30" t="str">
        <f>IF(VLOOKUP($C43, Mapping!$C$2:$L$181, 8, FALSE) = 0, "", VLOOKUP($C43, Mapping!$C$2:$L$181, 8, FALSE))</f>
        <v/>
      </c>
      <c r="J43" s="30" t="str">
        <f>IF(VLOOKUP($C43, Mapping!$C$2:$L$181, 9, FALSE) = 0, "", VLOOKUP($C43, Mapping!$C$2:$L$181, 9, FALSE))</f>
        <v/>
      </c>
      <c r="K43" s="21" t="str">
        <f>IF(VLOOKUP($C43, Mapping!$C$2:$L$181, 10, FALSE) = 0, "", VLOOKUP($C43, Mapping!$C$2:$L$181, 10, FALSE))</f>
        <v>LotG or Agile; Eric</v>
      </c>
    </row>
    <row r="44" spans="1:11" x14ac:dyDescent="0.25">
      <c r="A44" s="1" t="s">
        <v>432</v>
      </c>
      <c r="B44" s="4" t="s">
        <v>434</v>
      </c>
      <c r="C44" s="20" t="str">
        <f t="shared" si="0"/>
        <v>DwPlm[WFR_TECH_VARIANT_ID]</v>
      </c>
      <c r="D44" s="20" t="str">
        <f>IF(VLOOKUP($C44, Mapping!$C$2:$L$181, 2, FALSE) = 0, "", VLOOKUP($C44, Mapping!$C$2:$L$181, 2, FALSE))</f>
        <v>ProcessFamily</v>
      </c>
      <c r="E44" s="20" t="str">
        <f>IF(VLOOKUP($C44, Mapping!$C$2:$L$181, 3, FALSE) = 0, "", VLOOKUP($C44, Mapping!$C$2:$L$181, 3, FALSE))</f>
        <v/>
      </c>
      <c r="F44" s="20" t="str">
        <f>IF(VLOOKUP($C44, Mapping!$C$2:$L$181, 4, FALSE) = 0, "", VLOOKUP($C44, Mapping!$C$2:$L$181, 4, FALSE))</f>
        <v>Process Family</v>
      </c>
      <c r="G44" s="20" t="str">
        <f>IF(VLOOKUP($C44, Mapping!$C$2:$L$181, 6, FALSE) = 0, "", VLOOKUP($C44, Mapping!$C$2:$L$181, 6, FALSE))</f>
        <v>DbMetaData("Process Family", vProcessFamily)</v>
      </c>
      <c r="H44" s="30" t="str">
        <f>IF(VLOOKUP($C44, Mapping!$C$2:$L$181, 7, FALSE) = 0, "", VLOOKUP($C44, Mapping!$C$2:$L$181, 7, FALSE))</f>
        <v>op_log linked index 22</v>
      </c>
      <c r="I44" s="30" t="str">
        <f>IF(VLOOKUP($C44, Mapping!$C$2:$L$181, 8, FALSE) = 0, "", VLOOKUP($C44, Mapping!$C$2:$L$181, 8, FALSE))</f>
        <v/>
      </c>
      <c r="J44" s="30" t="str">
        <f>IF(VLOOKUP($C44, Mapping!$C$2:$L$181, 9, FALSE) = 0, "", VLOOKUP($C44, Mapping!$C$2:$L$181, 9, FALSE))</f>
        <v/>
      </c>
      <c r="K44" s="21" t="str">
        <f>IF(VLOOKUP($C44, Mapping!$C$2:$L$181, 10, FALSE) = 0, "", VLOOKUP($C44, Mapping!$C$2:$L$181, 10, FALSE))</f>
        <v>LotG or Agile; Eric</v>
      </c>
    </row>
    <row r="45" spans="1:11" x14ac:dyDescent="0.25">
      <c r="A45" s="11"/>
      <c r="B45" s="4" t="s">
        <v>285</v>
      </c>
      <c r="C45" s="20" t="str">
        <f>IF(NOT(ISBLANK(B45)),_xlfn.CONCAT(A45,"[",B45,"]"),"")</f>
        <v>[Test Head]</v>
      </c>
      <c r="D45" s="20" t="str">
        <f>IF(VLOOKUP($C45, Mapping!$C$2:$L$181, 2, FALSE) = 0, "", VLOOKUP($C45, Mapping!$C$2:$L$181, 2, FALSE))</f>
        <v>TestHead</v>
      </c>
      <c r="E45" s="20" t="str">
        <f>IF(VLOOKUP($C45, Mapping!$C$2:$L$181, 3, FALSE) = 0, "", VLOOKUP($C45, Mapping!$C$2:$L$181, 3, FALSE))</f>
        <v/>
      </c>
      <c r="F45" s="20" t="str">
        <f>IF(VLOOKUP($C45, Mapping!$C$2:$L$181, 4, FALSE) = 0, "", VLOOKUP($C45, Mapping!$C$2:$L$181, 4, FALSE))</f>
        <v>Test Head</v>
      </c>
      <c r="G45" s="20" t="str">
        <f>IF(VLOOKUP($C45, Mapping!$C$2:$L$181, 6, FALSE) = 0, "", VLOOKUP($C45, Mapping!$C$2:$L$181, 6, FALSE))</f>
        <v>DbMetaData("Test Head", vTest Head)</v>
      </c>
      <c r="H45" s="30" t="str">
        <f>IF(VLOOKUP($C45, Mapping!$C$2:$L$181, 7, FALSE) = 0, "", VLOOKUP($C45, Mapping!$C$2:$L$181, 7, FALSE))</f>
        <v>op_log linked index 23</v>
      </c>
      <c r="I45" s="30" t="str">
        <f>IF(VLOOKUP($C45, Mapping!$C$2:$L$181, 8, FALSE) = 0, "", VLOOKUP($C45, Mapping!$C$2:$L$181, 8, FALSE))</f>
        <v/>
      </c>
      <c r="J45" s="30" t="str">
        <f>IF(VLOOKUP($C45, Mapping!$C$2:$L$181, 9, FALSE) = 0, "", VLOOKUP($C45, Mapping!$C$2:$L$181, 9, FALSE))</f>
        <v/>
      </c>
      <c r="K45" s="21" t="str">
        <f>IF(VLOOKUP($C45, Mapping!$C$2:$L$181, 10, FALSE) = 0, "", VLOOKUP($C45, Mapping!$C$2:$L$181, 10, FALSE))</f>
        <v/>
      </c>
    </row>
    <row r="46" spans="1:11" x14ac:dyDescent="0.25">
      <c r="A46" s="1" t="s">
        <v>432</v>
      </c>
      <c r="B46" s="4" t="s">
        <v>435</v>
      </c>
      <c r="C46" s="20" t="str">
        <f t="shared" ref="C46:C47" si="1">IF(NOT(ISBLANK(B46)),_xlfn.CONCAT(A46,"[",B46,"]"),"")</f>
        <v>DwPlm[WFR_FAB_MASK]</v>
      </c>
      <c r="D46" s="20" t="str">
        <f>IF(VLOOKUP($C46, Mapping!$C$2:$L$181, 2, FALSE) = 0, "", VLOOKUP($C46, Mapping!$C$2:$L$181, 2, FALSE))</f>
        <v>ProductCode</v>
      </c>
      <c r="E46" s="20" t="str">
        <f>IF(VLOOKUP($C46, Mapping!$C$2:$L$181, 3, FALSE) = 0, "", VLOOKUP($C46, Mapping!$C$2:$L$181, 3, FALSE))</f>
        <v/>
      </c>
      <c r="F46" s="20" t="str">
        <f>IF(VLOOKUP($C46, Mapping!$C$2:$L$181, 4, FALSE) = 0, "", VLOOKUP($C46, Mapping!$C$2:$L$181, 4, FALSE))</f>
        <v>Product Code</v>
      </c>
      <c r="G46" s="20" t="str">
        <f>IF(VLOOKUP($C46, Mapping!$C$2:$L$181, 6, FALSE) = 0, "", VLOOKUP($C46, Mapping!$C$2:$L$181, 6, FALSE))</f>
        <v>DbMetaData("Product Code", vProductCode)</v>
      </c>
      <c r="H46" s="30" t="str">
        <f>IF(VLOOKUP($C46, Mapping!$C$2:$L$181, 7, FALSE) = 0, "", VLOOKUP($C46, Mapping!$C$2:$L$181, 7, FALSE))</f>
        <v>op_log linked index 24</v>
      </c>
      <c r="I46" s="30" t="str">
        <f>IF(VLOOKUP($C46, Mapping!$C$2:$L$181, 8, FALSE) = 0, "", VLOOKUP($C46, Mapping!$C$2:$L$181, 8, FALSE))</f>
        <v/>
      </c>
      <c r="J46" s="30" t="str">
        <f>IF(VLOOKUP($C46, Mapping!$C$2:$L$181, 9, FALSE) = 0, "", VLOOKUP($C46, Mapping!$C$2:$L$181, 9, FALSE))</f>
        <v/>
      </c>
      <c r="K46" s="21" t="str">
        <f>IF(VLOOKUP($C46, Mapping!$C$2:$L$181, 10, FALSE) = 0, "", VLOOKUP($C46, Mapping!$C$2:$L$181, 10, FALSE))</f>
        <v>LotG or Agile; Firs 4 chars of WFR_FAB_MASK_CONFIG_ID + : + PART_ID</v>
      </c>
    </row>
    <row r="47" spans="1:11" x14ac:dyDescent="0.25">
      <c r="A47" s="11"/>
      <c r="B47" s="4" t="s">
        <v>308</v>
      </c>
      <c r="C47" s="20" t="str">
        <f t="shared" si="1"/>
        <v>[Card Lens Module]</v>
      </c>
      <c r="D47" s="20" t="str">
        <f>IF(VLOOKUP($C47, Mapping!$C$2:$L$181, 2, FALSE) = 0, "", VLOOKUP($C47, Mapping!$C$2:$L$181, 2, FALSE))</f>
        <v/>
      </c>
      <c r="E47" s="20" t="str">
        <f>IF(VLOOKUP($C47, Mapping!$C$2:$L$181, 3, FALSE) = 0, "", VLOOKUP($C47, Mapping!$C$2:$L$181, 3, FALSE))</f>
        <v/>
      </c>
      <c r="F47" s="20" t="str">
        <f>IF(VLOOKUP($C47, Mapping!$C$2:$L$181, 4, FALSE) = 0, "", VLOOKUP($C47, Mapping!$C$2:$L$181, 4, FALSE))</f>
        <v>Card Lens Module</v>
      </c>
      <c r="G47" s="20" t="str">
        <f>IF(VLOOKUP($C47, Mapping!$C$2:$L$181, 6, FALSE) = 0, "", VLOOKUP($C47, Mapping!$C$2:$L$181, 6, FALSE))</f>
        <v>DbMetaData("Card Lens Module", vCardLensModule)</v>
      </c>
      <c r="H47" s="30" t="str">
        <f>IF(VLOOKUP($C47, Mapping!$C$2:$L$181, 7, FALSE) = 0, "", VLOOKUP($C47, Mapping!$C$2:$L$181, 7, FALSE))</f>
        <v>op_log linked index 25</v>
      </c>
      <c r="I47" s="30" t="str">
        <f>IF(VLOOKUP($C47, Mapping!$C$2:$L$181, 8, FALSE) = 0, "", VLOOKUP($C47, Mapping!$C$2:$L$181, 8, FALSE))</f>
        <v/>
      </c>
      <c r="J47" s="30" t="str">
        <f>IF(VLOOKUP($C47, Mapping!$C$2:$L$181, 9, FALSE) = 0, "", VLOOKUP($C47, Mapping!$C$2:$L$181, 9, FALSE))</f>
        <v/>
      </c>
      <c r="K47" s="21" t="str">
        <f>IF(VLOOKUP($C47, Mapping!$C$2:$L$181, 10, FALSE) = 0, "", VLOOKUP($C47, Mapping!$C$2:$L$181, 10, FALSE))</f>
        <v>NULL, ISG specific</v>
      </c>
    </row>
    <row r="48" spans="1:11" x14ac:dyDescent="0.25">
      <c r="A48" s="11"/>
      <c r="B48" s="4" t="s">
        <v>309</v>
      </c>
      <c r="C48" s="20" t="str">
        <f>IF(NOT(ISBLANK(B48)),_xlfn.CONCAT(A48,"[",B48,"]"),"")</f>
        <v>[Subcon Product]</v>
      </c>
      <c r="D48" s="20" t="str">
        <f>IF(VLOOKUP($C48, Mapping!$C$2:$L$181, 2, FALSE) = 0, "", VLOOKUP($C48, Mapping!$C$2:$L$181, 2, FALSE))</f>
        <v>SubconProduct</v>
      </c>
      <c r="E48" s="20" t="str">
        <f>IF(VLOOKUP($C48, Mapping!$C$2:$L$181, 3, FALSE) = 0, "", VLOOKUP($C48, Mapping!$C$2:$L$181, 3, FALSE))</f>
        <v/>
      </c>
      <c r="F48" s="20" t="str">
        <f>IF(VLOOKUP($C48, Mapping!$C$2:$L$181, 4, FALSE) = 0, "", VLOOKUP($C48, Mapping!$C$2:$L$181, 4, FALSE))</f>
        <v>Subcon Product</v>
      </c>
      <c r="G48" s="20" t="str">
        <f>IF(VLOOKUP($C48, Mapping!$C$2:$L$181, 6, FALSE) = 0, "", VLOOKUP($C48, Mapping!$C$2:$L$181, 6, FALSE))</f>
        <v>DbMetaData("Subcon Product", vSubconProduct)</v>
      </c>
      <c r="H48" s="30" t="str">
        <f>IF(VLOOKUP($C48, Mapping!$C$2:$L$181, 7, FALSE) = 0, "", VLOOKUP($C48, Mapping!$C$2:$L$181, 7, FALSE))</f>
        <v>op_log linked index 27</v>
      </c>
      <c r="I48" s="30" t="str">
        <f>IF(VLOOKUP($C48, Mapping!$C$2:$L$181, 8, FALSE) = 0, "", VLOOKUP($C48, Mapping!$C$2:$L$181, 8, FALSE))</f>
        <v/>
      </c>
      <c r="J48" s="30" t="str">
        <f>IF(VLOOKUP($C48, Mapping!$C$2:$L$181, 9, FALSE) = 0, "", VLOOKUP($C48, Mapping!$C$2:$L$181, 9, FALSE))</f>
        <v/>
      </c>
      <c r="K48" s="21" t="str">
        <f>IF(VLOOKUP($C48, Mapping!$C$2:$L$181, 10, FALSE) = 0, "", VLOOKUP($C48, Mapping!$C$2:$L$181, 10, FALSE))</f>
        <v/>
      </c>
    </row>
    <row r="49" spans="1:11" x14ac:dyDescent="0.25">
      <c r="A49" s="11"/>
      <c r="B49" s="4" t="s">
        <v>199</v>
      </c>
      <c r="C49" s="20" t="str">
        <f t="shared" ref="C49:C50" si="2">IF(NOT(ISBLANK(B49)),_xlfn.CONCAT(A49,"[",B49,"]"),"")</f>
        <v>[Serial/Sequence Number]</v>
      </c>
      <c r="D49" s="20" t="str">
        <f>IF(VLOOKUP($C49, Mapping!$C$2:$L$181, 2, FALSE) = 0, "", VLOOKUP($C49, Mapping!$C$2:$L$181, 2, FALSE))</f>
        <v/>
      </c>
      <c r="E49" s="20" t="str">
        <f>IF(VLOOKUP($C49, Mapping!$C$2:$L$181, 3, FALSE) = 0, "", VLOOKUP($C49, Mapping!$C$2:$L$181, 3, FALSE))</f>
        <v>PRR</v>
      </c>
      <c r="F49" s="20" t="str">
        <f>IF(VLOOKUP($C49, Mapping!$C$2:$L$181, 4, FALSE) = 0, "", VLOOKUP($C49, Mapping!$C$2:$L$181, 4, FALSE))</f>
        <v>Serial/Sequence Number</v>
      </c>
      <c r="G49" s="20" t="str">
        <f>IF(VLOOKUP($C49, Mapping!$C$2:$L$181, 6, FALSE) = 0, "", VLOOKUP($C49, Mapping!$C$2:$L$181, 6, FALSE))</f>
        <v>die_index</v>
      </c>
      <c r="H49" s="30" t="str">
        <f>IF(VLOOKUP($C49, Mapping!$C$2:$L$181, 7, FALSE) = 0, "", VLOOKUP($C49, Mapping!$C$2:$L$181, 7, FALSE))</f>
        <v>res index</v>
      </c>
      <c r="I49" s="30" t="str">
        <f>IF(VLOOKUP($C49, Mapping!$C$2:$L$181, 8, FALSE) = 0, "", VLOOKUP($C49, Mapping!$C$2:$L$181, 8, FALSE))</f>
        <v>key</v>
      </c>
      <c r="J49" s="30" t="str">
        <f>IF(VLOOKUP($C49, Mapping!$C$2:$L$181, 9, FALSE) = 0, "", VLOOKUP($C49, Mapping!$C$2:$L$181, 9, FALSE))</f>
        <v>Integer</v>
      </c>
      <c r="K49" s="21" t="str">
        <f>IF(VLOOKUP($C49, Mapping!$C$2:$L$181, 10, FALSE) = 0, "", VLOOKUP($C49, Mapping!$C$2:$L$181, 10, FALSE))</f>
        <v/>
      </c>
    </row>
    <row r="50" spans="1:11" x14ac:dyDescent="0.25">
      <c r="A50" s="11"/>
      <c r="B50" s="3" t="s">
        <v>200</v>
      </c>
      <c r="C50" s="20" t="str">
        <f t="shared" si="2"/>
        <v>[ECID]</v>
      </c>
      <c r="D50" s="20" t="str">
        <f>IF(VLOOKUP($C50, Mapping!$C$2:$L$181, 2, FALSE) = 0, "", VLOOKUP($C50, Mapping!$C$2:$L$181, 2, FALSE))</f>
        <v/>
      </c>
      <c r="E50" s="20" t="str">
        <f>IF(VLOOKUP($C50, Mapping!$C$2:$L$181, 3, FALSE) = 0, "", VLOOKUP($C50, Mapping!$C$2:$L$181, 3, FALSE))</f>
        <v/>
      </c>
      <c r="F50" s="20" t="str">
        <f>IF(VLOOKUP($C50, Mapping!$C$2:$L$181, 4, FALSE) = 0, "", VLOOKUP($C50, Mapping!$C$2:$L$181, 4, FALSE))</f>
        <v>ECID</v>
      </c>
      <c r="G50" s="20" t="str">
        <f>IF(VLOOKUP($C50, Mapping!$C$2:$L$181, 6, FALSE) = 0, "", VLOOKUP($C50, Mapping!$C$2:$L$181, 6, FALSE))</f>
        <v>ecid</v>
      </c>
      <c r="H50" s="30" t="str">
        <f>IF(VLOOKUP($C50, Mapping!$C$2:$L$181, 7, FALSE) = 0, "", VLOOKUP($C50, Mapping!$C$2:$L$181, 7, FALSE))</f>
        <v>res index</v>
      </c>
      <c r="I50" s="30" t="str">
        <f>IF(VLOOKUP($C50, Mapping!$C$2:$L$181, 8, FALSE) = 0, "", VLOOKUP($C50, Mapping!$C$2:$L$181, 8, FALSE))</f>
        <v>key</v>
      </c>
      <c r="J50" s="30" t="str">
        <f>IF(VLOOKUP($C50, Mapping!$C$2:$L$181, 9, FALSE) = 0, "", VLOOKUP($C50, Mapping!$C$2:$L$181, 9, FALSE))</f>
        <v>String</v>
      </c>
      <c r="K50" s="21" t="str">
        <f>IF(VLOOKUP($C50, Mapping!$C$2:$L$181, 10, FALSE) = 0, "", VLOOKUP($C50, Mapping!$C$2:$L$181, 10, FALSE))</f>
        <v>If no die ID or ECID present in data file, create a "virtual ID" uniquely identifying the die/PART.
Probe or wafer/frame/ring-level final test:  "lotId_WaferNumber:x#:y#"; "LD595A_12:x45:y-6"
Module or sub assembly level test: "lot-id:module-id" (this scenario is unlikely because the unique module ID will be passed into the IFF as a unique serial #/ECID)
Singulated final test: "lot-id:serial-number"
Call DbDieIdIndex() to establish to activate DLT</v>
      </c>
    </row>
    <row r="51" spans="1:11" x14ac:dyDescent="0.25">
      <c r="A51" s="11"/>
      <c r="B51" s="4" t="s">
        <v>201</v>
      </c>
      <c r="C51" s="20" t="str">
        <f>IF(NOT(ISBLANK(B51)),_xlfn.CONCAT(A51,"[",B51,"]"),"")</f>
        <v>[Part Pass/Fail Flag (from tester)]</v>
      </c>
      <c r="D51" s="20" t="str">
        <f>IF(VLOOKUP($C51, Mapping!$C$2:$L$181, 2, FALSE) = 0, "", VLOOKUP($C51, Mapping!$C$2:$L$181, 2, FALSE))</f>
        <v/>
      </c>
      <c r="E51" s="20" t="str">
        <f>IF(VLOOKUP($C51, Mapping!$C$2:$L$181, 3, FALSE) = 0, "", VLOOKUP($C51, Mapping!$C$2:$L$181, 3, FALSE))</f>
        <v/>
      </c>
      <c r="F51" s="20" t="str">
        <f>IF(VLOOKUP($C51, Mapping!$C$2:$L$181, 4, FALSE) = 0, "", VLOOKUP($C51, Mapping!$C$2:$L$181, 4, FALSE))</f>
        <v>Part Pass/Fail Flag (from tester)</v>
      </c>
      <c r="G51" s="20" t="str">
        <f>IF(VLOOKUP($C51, Mapping!$C$2:$L$181, 6, FALSE) = 0, "", VLOOKUP($C51, Mapping!$C$2:$L$181, 6, FALSE))</f>
        <v>pass_or_fail</v>
      </c>
      <c r="H51" s="30" t="str">
        <f>IF(VLOOKUP($C51, Mapping!$C$2:$L$181, 7, FALSE) = 0, "", VLOOKUP($C51, Mapping!$C$2:$L$181, 7, FALSE))</f>
        <v>res index</v>
      </c>
      <c r="I51" s="30" t="str">
        <f>IF(VLOOKUP($C51, Mapping!$C$2:$L$181, 8, FALSE) = 0, "", VLOOKUP($C51, Mapping!$C$2:$L$181, 8, FALSE))</f>
        <v>non-key</v>
      </c>
      <c r="J51" s="30" t="str">
        <f>IF(VLOOKUP($C51, Mapping!$C$2:$L$181, 9, FALSE) = 0, "", VLOOKUP($C51, Mapping!$C$2:$L$181, 9, FALSE))</f>
        <v>String</v>
      </c>
      <c r="K51" s="21" t="str">
        <f>IF(VLOOKUP($C51, Mapping!$C$2:$L$181, 10, FALSE) = 0, "", VLOOKUP($C51, Mapping!$C$2:$L$181, 10, FALSE))</f>
        <v>Bin Pass/Fail Flag</v>
      </c>
    </row>
    <row r="52" spans="1:11" x14ac:dyDescent="0.25">
      <c r="A52" s="11"/>
      <c r="B52" s="4" t="s">
        <v>204</v>
      </c>
      <c r="C52" s="20" t="str">
        <f t="shared" ref="C52:C60" si="3">IF(NOT(ISBLANK(B52)),_xlfn.CONCAT(A52,"[",B52,"]"),"")</f>
        <v>[Test Execution Time]</v>
      </c>
      <c r="D52" s="20" t="str">
        <f>IF(VLOOKUP($C52, Mapping!$C$2:$L$181, 2, FALSE) = 0, "", VLOOKUP($C52, Mapping!$C$2:$L$181, 2, FALSE))</f>
        <v/>
      </c>
      <c r="E52" s="20" t="str">
        <f>IF(VLOOKUP($C52, Mapping!$C$2:$L$181, 3, FALSE) = 0, "", VLOOKUP($C52, Mapping!$C$2:$L$181, 3, FALSE))</f>
        <v>PRR.TEST_T</v>
      </c>
      <c r="F52" s="20" t="str">
        <f>IF(VLOOKUP($C52, Mapping!$C$2:$L$181, 4, FALSE) = 0, "", VLOOKUP($C52, Mapping!$C$2:$L$181, 4, FALSE))</f>
        <v>Test Execution Time</v>
      </c>
      <c r="G52" s="20" t="str">
        <f>IF(VLOOKUP($C52, Mapping!$C$2:$L$181, 6, FALSE) = 0, "", VLOOKUP($C52, Mapping!$C$2:$L$181, 6, FALSE))</f>
        <v/>
      </c>
      <c r="H52" s="30" t="str">
        <f>IF(VLOOKUP($C52, Mapping!$C$2:$L$181, 7, FALSE) = 0, "", VLOOKUP($C52, Mapping!$C$2:$L$181, 7, FALSE))</f>
        <v>parameter</v>
      </c>
      <c r="I52" s="30" t="str">
        <f>IF(VLOOKUP($C52, Mapping!$C$2:$L$181, 8, FALSE) = 0, "", VLOOKUP($C52, Mapping!$C$2:$L$181, 8, FALSE))</f>
        <v/>
      </c>
      <c r="J52" s="30" t="str">
        <f>IF(VLOOKUP($C52, Mapping!$C$2:$L$181, 9, FALSE) = 0, "", VLOOKUP($C52, Mapping!$C$2:$L$181, 9, FALSE))</f>
        <v/>
      </c>
      <c r="K52" s="21" t="str">
        <f>IF(VLOOKUP($C52, Mapping!$C$2:$L$181, 10, FALSE) = 0, "", VLOOKUP($C52, Mapping!$C$2:$L$181, 10, FALSE))</f>
        <v>Set To -1</v>
      </c>
    </row>
    <row r="53" spans="1:11" x14ac:dyDescent="0.25">
      <c r="A53" s="11"/>
      <c r="B53" s="4" t="s">
        <v>206</v>
      </c>
      <c r="C53" s="20" t="str">
        <f t="shared" si="3"/>
        <v>[BinDesc]</v>
      </c>
      <c r="D53" s="20" t="str">
        <f>IF(VLOOKUP($C53, Mapping!$C$2:$L$181, 2, FALSE) = 0, "", VLOOKUP($C53, Mapping!$C$2:$L$181, 2, FALSE))</f>
        <v/>
      </c>
      <c r="E53" s="20" t="str">
        <f>IF(VLOOKUP($C53, Mapping!$C$2:$L$181, 3, FALSE) = 0, "", VLOOKUP($C53, Mapping!$C$2:$L$181, 3, FALSE))</f>
        <v>SBR.BIN_NAME</v>
      </c>
      <c r="F53" s="20" t="str">
        <f>IF(VLOOKUP($C53, Mapping!$C$2:$L$181, 4, FALSE) = 0, "", VLOOKUP($C53, Mapping!$C$2:$L$181, 4, FALSE))</f>
        <v>BinDesc</v>
      </c>
      <c r="G53" s="20" t="str">
        <f>IF(VLOOKUP($C53, Mapping!$C$2:$L$181, 6, FALSE) = 0, "", VLOOKUP($C53, Mapping!$C$2:$L$181, 6, FALSE))</f>
        <v>bindesc</v>
      </c>
      <c r="H53" s="30" t="str">
        <f>IF(VLOOKUP($C53, Mapping!$C$2:$L$181, 7, FALSE) = 0, "", VLOOKUP($C53, Mapping!$C$2:$L$181, 7, FALSE))</f>
        <v>res index</v>
      </c>
      <c r="I53" s="30" t="str">
        <f>IF(VLOOKUP($C53, Mapping!$C$2:$L$181, 8, FALSE) = 0, "", VLOOKUP($C53, Mapping!$C$2:$L$181, 8, FALSE))</f>
        <v>non-key</v>
      </c>
      <c r="J53" s="30" t="str">
        <f>IF(VLOOKUP($C53, Mapping!$C$2:$L$181, 9, FALSE) = 0, "", VLOOKUP($C53, Mapping!$C$2:$L$181, 9, FALSE))</f>
        <v>String</v>
      </c>
      <c r="K53" s="21" t="str">
        <f>IF(VLOOKUP($C53, Mapping!$C$2:$L$181, 10, FALSE) = 0, "", VLOOKUP($C53, Mapping!$C$2:$L$181, 10, FALSE))</f>
        <v/>
      </c>
    </row>
    <row r="54" spans="1:11" x14ac:dyDescent="0.25">
      <c r="A54" s="11"/>
      <c r="B54" s="1" t="s">
        <v>315</v>
      </c>
      <c r="C54" s="20" t="str">
        <f t="shared" si="3"/>
        <v>[orig_x]</v>
      </c>
      <c r="D54" s="20" t="str">
        <f>IF(VLOOKUP($C54, Mapping!$C$2:$L$181, 2, FALSE) = 0, "", VLOOKUP($C54, Mapping!$C$2:$L$181, 2, FALSE))</f>
        <v/>
      </c>
      <c r="E54" s="20" t="str">
        <f>IF(VLOOKUP($C54, Mapping!$C$2:$L$181, 3, FALSE) = 0, "", VLOOKUP($C54, Mapping!$C$2:$L$181, 3, FALSE))</f>
        <v/>
      </c>
      <c r="F54" s="20" t="str">
        <f>IF(VLOOKUP($C54, Mapping!$C$2:$L$181, 4, FALSE) = 0, "", VLOOKUP($C54, Mapping!$C$2:$L$181, 4, FALSE))</f>
        <v>orig_x</v>
      </c>
      <c r="G54" s="20" t="str">
        <f>IF(VLOOKUP($C54, Mapping!$C$2:$L$181, 6, FALSE) = 0, "", VLOOKUP($C54, Mapping!$C$2:$L$181, 6, FALSE))</f>
        <v>orig_x</v>
      </c>
      <c r="H54" s="30" t="str">
        <f>IF(VLOOKUP($C54, Mapping!$C$2:$L$181, 7, FALSE) = 0, "", VLOOKUP($C54, Mapping!$C$2:$L$181, 7, FALSE))</f>
        <v>res index</v>
      </c>
      <c r="I54" s="30" t="str">
        <f>IF(VLOOKUP($C54, Mapping!$C$2:$L$181, 8, FALSE) = 0, "", VLOOKUP($C54, Mapping!$C$2:$L$181, 8, FALSE))</f>
        <v>non-key</v>
      </c>
      <c r="J54" s="30" t="str">
        <f>IF(VLOOKUP($C54, Mapping!$C$2:$L$181, 9, FALSE) = 0, "", VLOOKUP($C54, Mapping!$C$2:$L$181, 9, FALSE))</f>
        <v>Integer</v>
      </c>
      <c r="K54" s="21" t="str">
        <f>IF(VLOOKUP($C54, Mapping!$C$2:$L$181, 10, FALSE) = 0, "", VLOOKUP($C54, Mapping!$C$2:$L$181, 10, FALSE))</f>
        <v>Same as die_x, die_y, do NOT call DbDieXYIndexes for these.  Used to retain original X,Y after normalization.</v>
      </c>
    </row>
    <row r="55" spans="1:11" x14ac:dyDescent="0.25">
      <c r="A55" s="11"/>
      <c r="B55" s="1" t="s">
        <v>316</v>
      </c>
      <c r="C55" s="20" t="str">
        <f t="shared" si="3"/>
        <v>[orig_y]</v>
      </c>
      <c r="D55" s="20" t="str">
        <f>IF(VLOOKUP($C55, Mapping!$C$2:$L$181, 2, FALSE) = 0, "", VLOOKUP($C55, Mapping!$C$2:$L$181, 2, FALSE))</f>
        <v/>
      </c>
      <c r="E55" s="20" t="str">
        <f>IF(VLOOKUP($C55, Mapping!$C$2:$L$181, 3, FALSE) = 0, "", VLOOKUP($C55, Mapping!$C$2:$L$181, 3, FALSE))</f>
        <v/>
      </c>
      <c r="F55" s="20" t="str">
        <f>IF(VLOOKUP($C55, Mapping!$C$2:$L$181, 4, FALSE) = 0, "", VLOOKUP($C55, Mapping!$C$2:$L$181, 4, FALSE))</f>
        <v>orig_y</v>
      </c>
      <c r="G55" s="20" t="str">
        <f>IF(VLOOKUP($C55, Mapping!$C$2:$L$181, 6, FALSE) = 0, "", VLOOKUP($C55, Mapping!$C$2:$L$181, 6, FALSE))</f>
        <v>orig_y</v>
      </c>
      <c r="H55" s="30" t="str">
        <f>IF(VLOOKUP($C55, Mapping!$C$2:$L$181, 7, FALSE) = 0, "", VLOOKUP($C55, Mapping!$C$2:$L$181, 7, FALSE))</f>
        <v>res index</v>
      </c>
      <c r="I55" s="30" t="str">
        <f>IF(VLOOKUP($C55, Mapping!$C$2:$L$181, 8, FALSE) = 0, "", VLOOKUP($C55, Mapping!$C$2:$L$181, 8, FALSE))</f>
        <v>non-key</v>
      </c>
      <c r="J55" s="30" t="str">
        <f>IF(VLOOKUP($C55, Mapping!$C$2:$L$181, 9, FALSE) = 0, "", VLOOKUP($C55, Mapping!$C$2:$L$181, 9, FALSE))</f>
        <v>Integer</v>
      </c>
      <c r="K55" s="21" t="str">
        <f>IF(VLOOKUP($C55, Mapping!$C$2:$L$181, 10, FALSE) = 0, "", VLOOKUP($C55, Mapping!$C$2:$L$181, 10, FALSE))</f>
        <v>Same as die_x, die_y, do NOT call DbDieXYIndexes for these.  Used to retain original X,Y after normalization.</v>
      </c>
    </row>
    <row r="56" spans="1:11" x14ac:dyDescent="0.25">
      <c r="A56" s="11"/>
      <c r="B56" s="1" t="s">
        <v>317</v>
      </c>
      <c r="C56" s="20" t="str">
        <f t="shared" si="3"/>
        <v>[reticle_x]</v>
      </c>
      <c r="D56" s="20" t="str">
        <f>IF(VLOOKUP($C56, Mapping!$C$2:$L$181, 2, FALSE) = 0, "", VLOOKUP($C56, Mapping!$C$2:$L$181, 2, FALSE))</f>
        <v/>
      </c>
      <c r="E56" s="20" t="str">
        <f>IF(VLOOKUP($C56, Mapping!$C$2:$L$181, 3, FALSE) = 0, "", VLOOKUP($C56, Mapping!$C$2:$L$181, 3, FALSE))</f>
        <v/>
      </c>
      <c r="F56" s="20" t="str">
        <f>IF(VLOOKUP($C56, Mapping!$C$2:$L$181, 4, FALSE) = 0, "", VLOOKUP($C56, Mapping!$C$2:$L$181, 4, FALSE))</f>
        <v>reticle_x</v>
      </c>
      <c r="G56" s="20" t="str">
        <f>IF(VLOOKUP($C56, Mapping!$C$2:$L$181, 6, FALSE) = 0, "", VLOOKUP($C56, Mapping!$C$2:$L$181, 6, FALSE))</f>
        <v>reticle_x</v>
      </c>
      <c r="H56" s="30" t="str">
        <f>IF(VLOOKUP($C56, Mapping!$C$2:$L$181, 7, FALSE) = 0, "", VLOOKUP($C56, Mapping!$C$2:$L$181, 7, FALSE))</f>
        <v>res index</v>
      </c>
      <c r="I56" s="30" t="str">
        <f>IF(VLOOKUP($C56, Mapping!$C$2:$L$181, 8, FALSE) = 0, "", VLOOKUP($C56, Mapping!$C$2:$L$181, 8, FALSE))</f>
        <v>non-key</v>
      </c>
      <c r="J56" s="30" t="str">
        <f>IF(VLOOKUP($C56, Mapping!$C$2:$L$181, 9, FALSE) = 0, "", VLOOKUP($C56, Mapping!$C$2:$L$181, 9, FALSE))</f>
        <v>Integer</v>
      </c>
      <c r="K56" s="21" t="str">
        <f>IF(VLOOKUP($C56, Mapping!$C$2:$L$181, 10, FALSE) = 0, "", VLOOKUP($C56, Mapping!$C$2:$L$181, 10, FALSE))</f>
        <v>Set to -1 by default if intra-reticle coordinates not available.</v>
      </c>
    </row>
    <row r="57" spans="1:11" x14ac:dyDescent="0.25">
      <c r="A57" s="11"/>
      <c r="B57" s="4" t="s">
        <v>318</v>
      </c>
      <c r="C57" s="20" t="str">
        <f t="shared" si="3"/>
        <v>[recitcle_y]</v>
      </c>
      <c r="D57" s="20" t="str">
        <f>IF(VLOOKUP($C57, Mapping!$C$2:$L$181, 2, FALSE) = 0, "", VLOOKUP($C57, Mapping!$C$2:$L$181, 2, FALSE))</f>
        <v/>
      </c>
      <c r="E57" s="20" t="str">
        <f>IF(VLOOKUP($C57, Mapping!$C$2:$L$181, 3, FALSE) = 0, "", VLOOKUP($C57, Mapping!$C$2:$L$181, 3, FALSE))</f>
        <v/>
      </c>
      <c r="F57" s="20" t="str">
        <f>IF(VLOOKUP($C57, Mapping!$C$2:$L$181, 4, FALSE) = 0, "", VLOOKUP($C57, Mapping!$C$2:$L$181, 4, FALSE))</f>
        <v>recitcle_y</v>
      </c>
      <c r="G57" s="20" t="str">
        <f>IF(VLOOKUP($C57, Mapping!$C$2:$L$181, 6, FALSE) = 0, "", VLOOKUP($C57, Mapping!$C$2:$L$181, 6, FALSE))</f>
        <v>recitcle_y</v>
      </c>
      <c r="H57" s="30" t="str">
        <f>IF(VLOOKUP($C57, Mapping!$C$2:$L$181, 7, FALSE) = 0, "", VLOOKUP($C57, Mapping!$C$2:$L$181, 7, FALSE))</f>
        <v>res index</v>
      </c>
      <c r="I57" s="30" t="str">
        <f>IF(VLOOKUP($C57, Mapping!$C$2:$L$181, 8, FALSE) = 0, "", VLOOKUP($C57, Mapping!$C$2:$L$181, 8, FALSE))</f>
        <v>non-key</v>
      </c>
      <c r="J57" s="30" t="str">
        <f>IF(VLOOKUP($C57, Mapping!$C$2:$L$181, 9, FALSE) = 0, "", VLOOKUP($C57, Mapping!$C$2:$L$181, 9, FALSE))</f>
        <v>Integer</v>
      </c>
      <c r="K57" s="21" t="str">
        <f>IF(VLOOKUP($C57, Mapping!$C$2:$L$181, 10, FALSE) = 0, "", VLOOKUP($C57, Mapping!$C$2:$L$181, 10, FALSE))</f>
        <v>Set to -1 by default if intra-reticle coordinates not available.</v>
      </c>
    </row>
    <row r="58" spans="1:11" x14ac:dyDescent="0.25">
      <c r="A58" s="11"/>
      <c r="B58" s="4" t="s">
        <v>331</v>
      </c>
      <c r="C58" s="20" t="str">
        <f t="shared" si="3"/>
        <v>[Test site ID]</v>
      </c>
      <c r="D58" s="20" t="str">
        <f>IF(VLOOKUP($C58, Mapping!$C$2:$L$181, 2, FALSE) = 0, "", VLOOKUP($C58, Mapping!$C$2:$L$181, 2, FALSE))</f>
        <v/>
      </c>
      <c r="E58" s="20" t="str">
        <f>IF(VLOOKUP($C58, Mapping!$C$2:$L$181, 3, FALSE) = 0, "", VLOOKUP($C58, Mapping!$C$2:$L$181, 3, FALSE))</f>
        <v>PRR.SITE_NUM</v>
      </c>
      <c r="F58" s="20" t="str">
        <f>IF(VLOOKUP($C58, Mapping!$C$2:$L$181, 4, FALSE) = 0, "", VLOOKUP($C58, Mapping!$C$2:$L$181, 4, FALSE))</f>
        <v>Test site ID</v>
      </c>
      <c r="G58" s="20" t="str">
        <f>IF(VLOOKUP($C58, Mapping!$C$2:$L$181, 6, FALSE) = 0, "", VLOOKUP($C58, Mapping!$C$2:$L$181, 6, FALSE))</f>
        <v>test_site</v>
      </c>
      <c r="H58" s="30" t="str">
        <f>IF(VLOOKUP($C58, Mapping!$C$2:$L$181, 7, FALSE) = 0, "", VLOOKUP($C58, Mapping!$C$2:$L$181, 7, FALSE))</f>
        <v>res index</v>
      </c>
      <c r="I58" s="30" t="str">
        <f>IF(VLOOKUP($C58, Mapping!$C$2:$L$181, 8, FALSE) = 0, "", VLOOKUP($C58, Mapping!$C$2:$L$181, 8, FALSE))</f>
        <v>non-key</v>
      </c>
      <c r="J58" s="30" t="str">
        <f>IF(VLOOKUP($C58, Mapping!$C$2:$L$181, 9, FALSE) = 0, "", VLOOKUP($C58, Mapping!$C$2:$L$181, 9, FALSE))</f>
        <v>Integer</v>
      </c>
      <c r="K58" s="21" t="str">
        <f>IF(VLOOKUP($C58, Mapping!$C$2:$L$181, 10, FALSE) = 0, "", VLOOKUP($C58, Mapping!$C$2:$L$181, 10, FALSE))</f>
        <v/>
      </c>
    </row>
    <row r="59" spans="1:11" x14ac:dyDescent="0.25">
      <c r="A59" s="11"/>
      <c r="B59" s="4" t="s">
        <v>333</v>
      </c>
      <c r="C59" s="20" t="str">
        <f t="shared" si="3"/>
        <v>[Touchdown number]</v>
      </c>
      <c r="D59" s="20" t="str">
        <f>IF(VLOOKUP($C59, Mapping!$C$2:$L$181, 2, FALSE) = 0, "", VLOOKUP($C59, Mapping!$C$2:$L$181, 2, FALSE))</f>
        <v/>
      </c>
      <c r="E59" s="20" t="str">
        <f>IF(VLOOKUP($C59, Mapping!$C$2:$L$181, 3, FALSE) = 0, "", VLOOKUP($C59, Mapping!$C$2:$L$181, 3, FALSE))</f>
        <v/>
      </c>
      <c r="F59" s="20" t="str">
        <f>IF(VLOOKUP($C59, Mapping!$C$2:$L$181, 4, FALSE) = 0, "", VLOOKUP($C59, Mapping!$C$2:$L$181, 4, FALSE))</f>
        <v>Touchdown number</v>
      </c>
      <c r="G59" s="20" t="str">
        <f>IF(VLOOKUP($C59, Mapping!$C$2:$L$181, 6, FALSE) = 0, "", VLOOKUP($C59, Mapping!$C$2:$L$181, 6, FALSE))</f>
        <v>touchdown_num</v>
      </c>
      <c r="H59" s="30" t="str">
        <f>IF(VLOOKUP($C59, Mapping!$C$2:$L$181, 7, FALSE) = 0, "", VLOOKUP($C59, Mapping!$C$2:$L$181, 7, FALSE))</f>
        <v>res index</v>
      </c>
      <c r="I59" s="30" t="str">
        <f>IF(VLOOKUP($C59, Mapping!$C$2:$L$181, 8, FALSE) = 0, "", VLOOKUP($C59, Mapping!$C$2:$L$181, 8, FALSE))</f>
        <v>non-key</v>
      </c>
      <c r="J59" s="30" t="str">
        <f>IF(VLOOKUP($C59, Mapping!$C$2:$L$181, 9, FALSE) = 0, "", VLOOKUP($C59, Mapping!$C$2:$L$181, 9, FALSE))</f>
        <v>Integer</v>
      </c>
      <c r="K59" s="21" t="str">
        <f>IF(VLOOKUP($C59, Mapping!$C$2:$L$181, 10, FALSE) = 0, "", VLOOKUP($C59, Mapping!$C$2:$L$181, 10, FALSE))</f>
        <v>Don't have this information</v>
      </c>
    </row>
    <row r="60" spans="1:11" x14ac:dyDescent="0.25">
      <c r="A60" s="11"/>
      <c r="B60" s="3" t="s">
        <v>340</v>
      </c>
      <c r="C60" s="20" t="str">
        <f t="shared" si="3"/>
        <v>[Lot Type]</v>
      </c>
      <c r="D60" s="20" t="e">
        <f>IF(VLOOKUP($C60, Mapping!$C$2:$L$181, 2, FALSE) = 0, "", VLOOKUP($C60, Mapping!$C$2:$L$181, 2, FALSE))</f>
        <v>#N/A</v>
      </c>
      <c r="E60" s="20" t="e">
        <f>IF(VLOOKUP($C60, Mapping!$C$2:$L$181, 3, FALSE) = 0, "", VLOOKUP($C60, Mapping!$C$2:$L$181, 3, FALSE))</f>
        <v>#N/A</v>
      </c>
      <c r="F60" s="20" t="e">
        <f>IF(VLOOKUP($C60, Mapping!$C$2:$L$181, 4, FALSE) = 0, "", VLOOKUP($C60, Mapping!$C$2:$L$181, 4, FALSE))</f>
        <v>#N/A</v>
      </c>
      <c r="G60" s="20" t="e">
        <f>IF(VLOOKUP($C60, Mapping!$C$2:$L$181, 6, FALSE) = 0, "", VLOOKUP($C60, Mapping!$C$2:$L$181, 6, FALSE))</f>
        <v>#N/A</v>
      </c>
      <c r="H60" s="30" t="e">
        <f>IF(VLOOKUP($C60, Mapping!$C$2:$L$181, 7, FALSE) = 0, "", VLOOKUP($C60, Mapping!$C$2:$L$181, 7, FALSE))</f>
        <v>#N/A</v>
      </c>
      <c r="I60" s="30" t="e">
        <f>IF(VLOOKUP($C60, Mapping!$C$2:$L$181, 8, FALSE) = 0, "", VLOOKUP($C60, Mapping!$C$2:$L$181, 8, FALSE))</f>
        <v>#N/A</v>
      </c>
      <c r="J60" s="30" t="e">
        <f>IF(VLOOKUP($C60, Mapping!$C$2:$L$181, 9, FALSE) = 0, "", VLOOKUP($C60, Mapping!$C$2:$L$181, 9, FALSE))</f>
        <v>#N/A</v>
      </c>
      <c r="K60" s="21" t="e">
        <f>IF(VLOOKUP($C60, Mapping!$C$2:$L$181, 10, FALSE) = 0, "", VLOOKUP($C60, Mapping!$C$2:$L$181, 10, FALSE))</f>
        <v>#N/A</v>
      </c>
    </row>
  </sheetData>
  <conditionalFormatting sqref="B14:B37 E2:F60 B39 B41 B45 B47:B48">
    <cfRule type="containsBlanks" dxfId="47" priority="4">
      <formula>LEN(TRIM(B2))=0</formula>
    </cfRule>
  </conditionalFormatting>
  <conditionalFormatting sqref="G2:H60">
    <cfRule type="expression" dxfId="46" priority="3">
      <formula>OR(ISBLANK(F2), AND(ISBLANK(G2), NOT(LEFT(TRIM(F2), 6)="op_log")))</formula>
    </cfRule>
  </conditionalFormatting>
  <conditionalFormatting sqref="J2:J60">
    <cfRule type="expression" dxfId="45" priority="5">
      <formula>OR(ISBLANK(G2), AND(ISBLANK(J2), NOT(LEFT(TRIM(G2), 6)="op_log")))</formula>
    </cfRule>
  </conditionalFormatting>
  <conditionalFormatting sqref="I2:I60">
    <cfRule type="expression" dxfId="44" priority="6">
      <formula>OR(ISBLANK(G2), AND(ISBLANK(I2), NOT(LEFT(TRIM(G2), 6)="op_log")))</formula>
    </cfRule>
  </conditionalFormatting>
  <conditionalFormatting sqref="B2:B13">
    <cfRule type="containsBlanks" dxfId="43" priority="2">
      <formula>LEN(TRIM(B2))=0</formula>
    </cfRule>
  </conditionalFormatting>
  <conditionalFormatting sqref="C2:C60">
    <cfRule type="duplicateValues" dxfId="42" priority="7"/>
  </conditionalFormatting>
  <conditionalFormatting sqref="D2:D60">
    <cfRule type="containsBlanks" dxfId="41" priority="1">
      <formula>LEN(TRIM(D2))=0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60"/>
  <sheetViews>
    <sheetView zoomScaleNormal="100" workbookViewId="0">
      <selection activeCell="K3" sqref="K3"/>
    </sheetView>
  </sheetViews>
  <sheetFormatPr defaultColWidth="9.140625" defaultRowHeight="15" x14ac:dyDescent="0.25"/>
  <cols>
    <col min="1" max="1" width="34" bestFit="1" customWidth="1"/>
    <col min="2" max="2" width="29.28515625" bestFit="1" customWidth="1"/>
    <col min="3" max="3" width="42.7109375" bestFit="1" customWidth="1"/>
    <col min="4" max="4" width="22.5703125" bestFit="1" customWidth="1"/>
    <col min="5" max="5" width="16.28515625" bestFit="1" customWidth="1"/>
    <col min="6" max="6" width="39.85546875" bestFit="1" customWidth="1"/>
    <col min="7" max="7" width="60.5703125" bestFit="1" customWidth="1"/>
    <col min="8" max="8" width="21.140625" bestFit="1" customWidth="1"/>
    <col min="9" max="9" width="14.7109375" bestFit="1" customWidth="1"/>
    <col min="10" max="10" width="12" bestFit="1" customWidth="1"/>
    <col min="11" max="11" width="98.85546875" style="16" bestFit="1" customWidth="1"/>
    <col min="12" max="16384" width="9.140625" style="16"/>
  </cols>
  <sheetData>
    <row r="1" spans="1:12" customFormat="1" x14ac:dyDescent="0.25">
      <c r="A1" s="17" t="s">
        <v>49</v>
      </c>
      <c r="B1" s="18" t="s">
        <v>50</v>
      </c>
      <c r="C1" s="18" t="s">
        <v>266</v>
      </c>
      <c r="D1" s="1" t="s">
        <v>68</v>
      </c>
      <c r="E1" s="18" t="s">
        <v>387</v>
      </c>
      <c r="F1" s="18" t="s">
        <v>151</v>
      </c>
      <c r="G1" s="18" t="s">
        <v>3</v>
      </c>
      <c r="H1" s="14" t="s">
        <v>277</v>
      </c>
      <c r="I1" s="14" t="s">
        <v>278</v>
      </c>
      <c r="J1" s="14" t="s">
        <v>322</v>
      </c>
      <c r="K1" s="19" t="s">
        <v>150</v>
      </c>
    </row>
    <row r="2" spans="1:12" customFormat="1" x14ac:dyDescent="0.25">
      <c r="A2" s="11" t="s">
        <v>216</v>
      </c>
      <c r="B2" s="31" t="s">
        <v>4</v>
      </c>
      <c r="C2" s="1" t="str">
        <f t="shared" ref="C2:C41" si="0">IF(NOT(ISBLANK(B2)),_xlfn.CONCAT(A2,"[",B2,"]"),"")</f>
        <v>LotG/SourceLot/Lot[Fab]</v>
      </c>
      <c r="D2" s="1" t="str">
        <f>IF(VLOOKUP($C2, Mapping!$C$2:$L$181, 2, FALSE) = 0, "", VLOOKUP($C2, Mapping!$C$2:$L$181, 2, FALSE))</f>
        <v>Fab</v>
      </c>
      <c r="E2" s="1" t="str">
        <f>IF(VLOOKUP($C2, Mapping!$C$2:$L$181, 3, FALSE) = 0, "", VLOOKUP($C2, Mapping!$C$2:$L$181, 3, FALSE))</f>
        <v/>
      </c>
      <c r="F2" s="1" t="str">
        <f>IF(VLOOKUP($C2, Mapping!$C$2:$L$181, 4, FALSE) = 0, "", VLOOKUP($C2, Mapping!$C$2:$L$181, 4, FALSE))</f>
        <v>Source Fab</v>
      </c>
      <c r="G2" s="1" t="str">
        <f>IF(VLOOKUP($C2, Mapping!$C$2:$L$181, 6, FALSE) = 0, "", VLOOKUP($C2, Mapping!$C$2:$L$181, 6, FALSE))</f>
        <v>vDbFab</v>
      </c>
      <c r="H2" s="2" t="str">
        <f>IF(VLOOKUP($C2, Mapping!$C$2:$L$181, 7, FALSE) = 0, "", VLOOKUP($C2, Mapping!$C$2:$L$181, 7, FALSE))</f>
        <v/>
      </c>
      <c r="I2" s="2" t="str">
        <f>IF(VLOOKUP($C2, Mapping!$C$2:$L$181, 8, FALSE) = 0, "", VLOOKUP($C2, Mapping!$C$2:$L$181, 8, FALSE))</f>
        <v/>
      </c>
      <c r="J2" s="2" t="str">
        <f>IF(VLOOKUP($C2, Mapping!$C$2:$L$181, 9, FALSE) = 0, "", VLOOKUP($C2, Mapping!$C$2:$L$181, 9, FALSE))</f>
        <v/>
      </c>
      <c r="K2" s="2" t="str">
        <f>IF(VLOOKUP($C2, Mapping!$C$2:$L$181, 10, FALSE) = 0, "", VLOOKUP($C2, Mapping!$C$2:$L$181, 10, FALSE))</f>
        <v/>
      </c>
    </row>
    <row r="3" spans="1:12" customFormat="1" x14ac:dyDescent="0.25">
      <c r="A3" s="11" t="s">
        <v>216</v>
      </c>
      <c r="B3" s="31" t="s">
        <v>147</v>
      </c>
      <c r="C3" s="1" t="str">
        <f t="shared" si="0"/>
        <v>LotG/SourceLot/Lot[LotClass]</v>
      </c>
      <c r="D3" s="1" t="str">
        <f>IF(VLOOKUP($C3, Mapping!$C$2:$L$181, 2, FALSE) = 0, "", VLOOKUP($C3, Mapping!$C$2:$L$181, 2, FALSE))</f>
        <v>LotClass</v>
      </c>
      <c r="E3" s="1" t="str">
        <f>IF(VLOOKUP($C3, Mapping!$C$2:$L$181, 3, FALSE) = 0, "", VLOOKUP($C3, Mapping!$C$2:$L$181, 3, FALSE))</f>
        <v/>
      </c>
      <c r="F3" s="1" t="str">
        <f>IF(VLOOKUP($C3, Mapping!$C$2:$L$181, 4, FALSE) = 0, "", VLOOKUP($C3, Mapping!$C$2:$L$181, 4, FALSE))</f>
        <v>Lot Class</v>
      </c>
      <c r="G3" s="1" t="str">
        <f>IF(VLOOKUP($C3, Mapping!$C$2:$L$181, 6, FALSE) = 0, "", VLOOKUP($C3, Mapping!$C$2:$L$181, 6, FALSE))</f>
        <v>vDbLotClass</v>
      </c>
      <c r="H3" s="2" t="str">
        <f>IF(VLOOKUP($C3, Mapping!$C$2:$L$181, 7, FALSE) = 0, "", VLOOKUP($C3, Mapping!$C$2:$L$181, 7, FALSE))</f>
        <v>lot class</v>
      </c>
      <c r="I3" s="2" t="str">
        <f>IF(VLOOKUP($C3, Mapping!$C$2:$L$181, 8, FALSE) = 0, "", VLOOKUP($C3, Mapping!$C$2:$L$181, 8, FALSE))</f>
        <v/>
      </c>
      <c r="J3" s="2" t="str">
        <f>IF(VLOOKUP($C3, Mapping!$C$2:$L$181, 9, FALSE) = 0, "", VLOOKUP($C3, Mapping!$C$2:$L$181, 9, FALSE))</f>
        <v>String</v>
      </c>
      <c r="K3" s="2" t="str">
        <f>IF(VLOOKUP($C3, Mapping!$C$2:$L$181, 10, FALSE) = 0, "", VLOOKUP($C3, Mapping!$C$2:$L$181, 10, FALSE))</f>
        <v>LotG or LTM; Type of lot Engineering/Production,…</v>
      </c>
    </row>
    <row r="4" spans="1:12" customFormat="1" x14ac:dyDescent="0.25">
      <c r="A4" s="11" t="s">
        <v>216</v>
      </c>
      <c r="B4" s="31" t="s">
        <v>148</v>
      </c>
      <c r="C4" s="1" t="str">
        <f t="shared" si="0"/>
        <v>LotG/SourceLot/Lot[LotNumber]</v>
      </c>
      <c r="D4" s="1" t="str">
        <f>IF(VLOOKUP($C4, Mapping!$C$2:$L$181, 2, FALSE) = 0, "", VLOOKUP($C4, Mapping!$C$2:$L$181, 2, FALSE))</f>
        <v>SubconLotId</v>
      </c>
      <c r="E4" s="1" t="str">
        <f>IF(VLOOKUP($C4, Mapping!$C$2:$L$181, 3, FALSE) = 0, "", VLOOKUP($C4, Mapping!$C$2:$L$181, 3, FALSE))</f>
        <v/>
      </c>
      <c r="F4" s="1" t="str">
        <f>IF(VLOOKUP($C4, Mapping!$C$2:$L$181, 4, FALSE) = 0, "", VLOOKUP($C4, Mapping!$C$2:$L$181, 4, FALSE))</f>
        <v>Subcon lot id</v>
      </c>
      <c r="G4" s="1" t="str">
        <f>IF(VLOOKUP($C4, Mapping!$C$2:$L$181, 6, FALSE) = 0, "", VLOOKUP($C4, Mapping!$C$2:$L$181, 6, FALSE))</f>
        <v>DbMetaData("Subcon lot id", vvSubconLotId)</v>
      </c>
      <c r="H4" s="2" t="str">
        <f>IF(VLOOKUP($C4, Mapping!$C$2:$L$181, 7, FALSE) = 0, "", VLOOKUP($C4, Mapping!$C$2:$L$181, 7, FALSE))</f>
        <v>op_log linked index 26</v>
      </c>
      <c r="I4" s="2" t="str">
        <f>IF(VLOOKUP($C4, Mapping!$C$2:$L$181, 8, FALSE) = 0, "", VLOOKUP($C4, Mapping!$C$2:$L$181, 8, FALSE))</f>
        <v/>
      </c>
      <c r="J4" s="2" t="str">
        <f>IF(VLOOKUP($C4, Mapping!$C$2:$L$181, 9, FALSE) = 0, "", VLOOKUP($C4, Mapping!$C$2:$L$181, 9, FALSE))</f>
        <v/>
      </c>
      <c r="K4" s="2" t="str">
        <f>IF(VLOOKUP($C4, Mapping!$C$2:$L$181, 10, FALSE) = 0, "", VLOOKUP($C4, Mapping!$C$2:$L$181, 10, FALSE))</f>
        <v/>
      </c>
    </row>
    <row r="5" spans="1:12" customFormat="1" x14ac:dyDescent="0.25">
      <c r="A5" s="11" t="s">
        <v>216</v>
      </c>
      <c r="B5" s="31" t="s">
        <v>154</v>
      </c>
      <c r="C5" s="1" t="str">
        <f t="shared" si="0"/>
        <v>LotG/SourceLot/Lot[WaferPart]</v>
      </c>
      <c r="D5" s="1" t="str">
        <f>IF(VLOOKUP($C5, Mapping!$C$2:$L$181, 2, FALSE) = 0, "", VLOOKUP($C5, Mapping!$C$2:$L$181, 2, FALSE))</f>
        <v>Product</v>
      </c>
      <c r="E5" s="1" t="str">
        <f>IF(VLOOKUP($C5, Mapping!$C$2:$L$181, 3, FALSE) = 0, "", VLOOKUP($C5, Mapping!$C$2:$L$181, 3, FALSE))</f>
        <v/>
      </c>
      <c r="F5" s="1" t="str">
        <f>IF(VLOOKUP($C5, Mapping!$C$2:$L$181, 4, FALSE) = 0, "", VLOOKUP($C5, Mapping!$C$2:$L$181, 4, FALSE))</f>
        <v>MES Product ID / Mfg part #</v>
      </c>
      <c r="G5" s="1" t="str">
        <f>IF(VLOOKUP($C5, Mapping!$C$2:$L$181, 6, FALSE) = 0, "", VLOOKUP($C5, Mapping!$C$2:$L$181, 6, FALSE))</f>
        <v>vDbProduct</v>
      </c>
      <c r="H5" s="2" t="str">
        <f>IF(VLOOKUP($C5, Mapping!$C$2:$L$181, 7, FALSE) = 0, "", VLOOKUP($C5, Mapping!$C$2:$L$181, 7, FALSE))</f>
        <v/>
      </c>
      <c r="I5" s="2" t="str">
        <f>IF(VLOOKUP($C5, Mapping!$C$2:$L$181, 8, FALSE) = 0, "", VLOOKUP($C5, Mapping!$C$2:$L$181, 8, FALSE))</f>
        <v/>
      </c>
      <c r="J5" s="2" t="str">
        <f>IF(VLOOKUP($C5, Mapping!$C$2:$L$181, 9, FALSE) = 0, "", VLOOKUP($C5, Mapping!$C$2:$L$181, 9, FALSE))</f>
        <v/>
      </c>
      <c r="K5" s="2" t="str">
        <f>IF(VLOOKUP($C5, Mapping!$C$2:$L$181, 10, FALSE) = 0, "", VLOOKUP($C5, Mapping!$C$2:$L$181, 10, FALSE))</f>
        <v/>
      </c>
    </row>
    <row r="6" spans="1:12" customFormat="1" x14ac:dyDescent="0.25">
      <c r="A6" s="11" t="s">
        <v>216</v>
      </c>
      <c r="B6" s="31" t="s">
        <v>160</v>
      </c>
      <c r="C6" s="1" t="str">
        <f t="shared" si="0"/>
        <v>LotG/SourceLot/Lot[Bank]</v>
      </c>
      <c r="D6" s="1" t="str">
        <f>IF(VLOOKUP($C6, Mapping!$C$2:$L$181, 2, FALSE) = 0, "", VLOOKUP($C6, Mapping!$C$2:$L$181, 2, FALSE))</f>
        <v/>
      </c>
      <c r="E6" s="1" t="str">
        <f>IF(VLOOKUP($C6, Mapping!$C$2:$L$181, 3, FALSE) = 0, "", VLOOKUP($C6, Mapping!$C$2:$L$181, 3, FALSE))</f>
        <v/>
      </c>
      <c r="F6" s="1" t="str">
        <f>IF(VLOOKUP($C6, Mapping!$C$2:$L$181, 4, FALSE) = 0, "", VLOOKUP($C6, Mapping!$C$2:$L$181, 4, FALSE))</f>
        <v>Bank Lot</v>
      </c>
      <c r="G6" s="1" t="str">
        <f>IF(VLOOKUP($C6, Mapping!$C$2:$L$181, 6, FALSE) = 0, "", VLOOKUP($C6, Mapping!$C$2:$L$181, 6, FALSE))</f>
        <v/>
      </c>
      <c r="H6" s="2" t="str">
        <f>IF(VLOOKUP($C6, Mapping!$C$2:$L$181, 7, FALSE) = 0, "", VLOOKUP($C6, Mapping!$C$2:$L$181, 7, FALSE))</f>
        <v/>
      </c>
      <c r="I6" s="2" t="str">
        <f>IF(VLOOKUP($C6, Mapping!$C$2:$L$181, 8, FALSE) = 0, "", VLOOKUP($C6, Mapping!$C$2:$L$181, 8, FALSE))</f>
        <v/>
      </c>
      <c r="J6" s="2" t="str">
        <f>IF(VLOOKUP($C6, Mapping!$C$2:$L$181, 9, FALSE) = 0, "", VLOOKUP($C6, Mapping!$C$2:$L$181, 9, FALSE))</f>
        <v/>
      </c>
      <c r="K6" s="2" t="str">
        <f>IF(VLOOKUP($C6, Mapping!$C$2:$L$181, 10, FALSE) = 0, "", VLOOKUP($C6, Mapping!$C$2:$L$181, 10, FALSE))</f>
        <v/>
      </c>
    </row>
    <row r="7" spans="1:12" customFormat="1" x14ac:dyDescent="0.25">
      <c r="A7" s="11" t="s">
        <v>25</v>
      </c>
      <c r="B7" s="31" t="s">
        <v>26</v>
      </c>
      <c r="C7" s="1" t="str">
        <f t="shared" si="0"/>
        <v>DataPort[TestFacility]</v>
      </c>
      <c r="D7" s="1" t="str">
        <f>IF(VLOOKUP($C7, Mapping!$C$2:$L$181, 2, FALSE) = 0, "", VLOOKUP($C7, Mapping!$C$2:$L$181, 2, FALSE))</f>
        <v>TestFacility</v>
      </c>
      <c r="E7" s="1" t="str">
        <f>IF(VLOOKUP($C7, Mapping!$C$2:$L$181, 3, FALSE) = 0, "", VLOOKUP($C7, Mapping!$C$2:$L$181, 3, FALSE))</f>
        <v/>
      </c>
      <c r="F7" s="1" t="str">
        <f>IF(VLOOKUP($C7, Mapping!$C$2:$L$181, 4, FALSE) = 0, "", VLOOKUP($C7, Mapping!$C$2:$L$181, 4, FALSE))</f>
        <v>Test Facility</v>
      </c>
      <c r="G7" s="1" t="str">
        <f>IF(VLOOKUP($C7, Mapping!$C$2:$L$181, 6, FALSE) = 0, "", VLOOKUP($C7, Mapping!$C$2:$L$181, 6, FALSE))</f>
        <v>vDbEquip6</v>
      </c>
      <c r="H7" s="2" t="str">
        <f>IF(VLOOKUP($C7, Mapping!$C$2:$L$181, 7, FALSE) = 0, "", VLOOKUP($C7, Mapping!$C$2:$L$181, 7, FALSE))</f>
        <v>Equip[6]</v>
      </c>
      <c r="I7" s="2" t="str">
        <f>IF(VLOOKUP($C7, Mapping!$C$2:$L$181, 8, FALSE) = 0, "", VLOOKUP($C7, Mapping!$C$2:$L$181, 8, FALSE))</f>
        <v/>
      </c>
      <c r="J7" s="2" t="str">
        <f>IF(VLOOKUP($C7, Mapping!$C$2:$L$181, 9, FALSE) = 0, "", VLOOKUP($C7, Mapping!$C$2:$L$181, 9, FALSE))</f>
        <v/>
      </c>
      <c r="K7" s="2" t="str">
        <f>IF(VLOOKUP($C7, Mapping!$C$2:$L$181, 10, FALSE) = 0, "", VLOOKUP($C7, Mapping!$C$2:$L$181, 10, FALSE))</f>
        <v/>
      </c>
      <c r="L7" s="5"/>
    </row>
    <row r="8" spans="1:12" customFormat="1" x14ac:dyDescent="0.25">
      <c r="A8" s="11" t="s">
        <v>421</v>
      </c>
      <c r="B8" s="31" t="s">
        <v>23</v>
      </c>
      <c r="C8" s="1" t="str">
        <f t="shared" si="0"/>
        <v>File[FileName]</v>
      </c>
      <c r="D8" s="1" t="str">
        <f>IF(VLOOKUP($C8, Mapping!$C$2:$L$181, 2, FALSE) = 0, "", VLOOKUP($C8, Mapping!$C$2:$L$181, 2, FALSE))</f>
        <v>DataFileName</v>
      </c>
      <c r="E8" s="1" t="str">
        <f>IF(VLOOKUP($C8, Mapping!$C$2:$L$181, 3, FALSE) = 0, "", VLOOKUP($C8, Mapping!$C$2:$L$181, 3, FALSE))</f>
        <v/>
      </c>
      <c r="F8" s="1" t="str">
        <f>IF(VLOOKUP($C8, Mapping!$C$2:$L$181, 4, FALSE) = 0, "", VLOOKUP($C8, Mapping!$C$2:$L$181, 4, FALSE))</f>
        <v>Data File Name</v>
      </c>
      <c r="G8" s="1" t="str">
        <f>IF(VLOOKUP($C8, Mapping!$C$2:$L$181, 6, FALSE) = 0, "", VLOOKUP($C8, Mapping!$C$2:$L$181, 6, FALSE))</f>
        <v>DbMetaData("Data File Name", vFileName)</v>
      </c>
      <c r="H8" s="2" t="str">
        <f>IF(VLOOKUP($C8, Mapping!$C$2:$L$181, 7, FALSE) = 0, "", VLOOKUP($C8, Mapping!$C$2:$L$181, 7, FALSE))</f>
        <v>op_log linked index 3</v>
      </c>
      <c r="I8" s="2" t="str">
        <f>IF(VLOOKUP($C8, Mapping!$C$2:$L$181, 8, FALSE) = 0, "", VLOOKUP($C8, Mapping!$C$2:$L$181, 8, FALSE))</f>
        <v/>
      </c>
      <c r="J8" s="2" t="str">
        <f>IF(VLOOKUP($C8, Mapping!$C$2:$L$181, 9, FALSE) = 0, "", VLOOKUP($C8, Mapping!$C$2:$L$181, 9, FALSE))</f>
        <v/>
      </c>
      <c r="K8" s="2" t="str">
        <f>IF(VLOOKUP($C8, Mapping!$C$2:$L$181, 10, FALSE) = 0, "", VLOOKUP($C8, Mapping!$C$2:$L$181, 10, FALSE))</f>
        <v/>
      </c>
    </row>
    <row r="9" spans="1:12" customFormat="1" x14ac:dyDescent="0.25">
      <c r="A9" s="11" t="s">
        <v>422</v>
      </c>
      <c r="B9" s="31" t="s">
        <v>20</v>
      </c>
      <c r="C9" s="1" t="str">
        <f t="shared" si="0"/>
        <v>File/Lot[FinishTime]</v>
      </c>
      <c r="D9" s="1" t="str">
        <f>IF(VLOOKUP($C9, Mapping!$C$2:$L$181, 2, FALSE) = 0, "", VLOOKUP($C9, Mapping!$C$2:$L$181, 2, FALSE))</f>
        <v>EndTime</v>
      </c>
      <c r="E9" s="1" t="str">
        <f>IF(VLOOKUP($C9, Mapping!$C$2:$L$181, 3, FALSE) = 0, "", VLOOKUP($C9, Mapping!$C$2:$L$181, 3, FALSE))</f>
        <v>MRR.FINISH_T</v>
      </c>
      <c r="F9" s="1" t="str">
        <f>IF(VLOOKUP($C9, Mapping!$C$2:$L$181, 4, FALSE) = 0, "", VLOOKUP($C9, Mapping!$C$2:$L$181, 4, FALSE))</f>
        <v>End Time</v>
      </c>
      <c r="G9" s="1" t="str">
        <f>IF(VLOOKUP($C9, Mapping!$C$2:$L$181, 6, FALSE) = 0, "", VLOOKUP($C9, Mapping!$C$2:$L$181, 6, FALSE))</f>
        <v>vDbEndTime</v>
      </c>
      <c r="H9" s="2" t="str">
        <f>IF(VLOOKUP($C9, Mapping!$C$2:$L$181, 7, FALSE) = 0, "", VLOOKUP($C9, Mapping!$C$2:$L$181, 7, FALSE))</f>
        <v/>
      </c>
      <c r="I9" s="2" t="str">
        <f>IF(VLOOKUP($C9, Mapping!$C$2:$L$181, 8, FALSE) = 0, "", VLOOKUP($C9, Mapping!$C$2:$L$181, 8, FALSE))</f>
        <v/>
      </c>
      <c r="J9" s="2" t="str">
        <f>IF(VLOOKUP($C9, Mapping!$C$2:$L$181, 9, FALSE) = 0, "", VLOOKUP($C9, Mapping!$C$2:$L$181, 9, FALSE))</f>
        <v/>
      </c>
      <c r="K9" s="2" t="str">
        <f>IF(VLOOKUP($C9, Mapping!$C$2:$L$181, 10, FALSE) = 0, "", VLOOKUP($C9, Mapping!$C$2:$L$181, 10, FALSE))</f>
        <v/>
      </c>
    </row>
    <row r="10" spans="1:12" customFormat="1" x14ac:dyDescent="0.25">
      <c r="A10" s="11" t="s">
        <v>422</v>
      </c>
      <c r="B10" s="31" t="s">
        <v>22</v>
      </c>
      <c r="C10" s="1" t="str">
        <f t="shared" si="0"/>
        <v>File/Lot[JobName]</v>
      </c>
      <c r="D10" s="1" t="str">
        <f>IF(VLOOKUP($C10, Mapping!$C$2:$L$181, 2, FALSE) = 0, "", VLOOKUP($C10, Mapping!$C$2:$L$181, 2, FALSE))</f>
        <v>Recipe</v>
      </c>
      <c r="E10" s="1" t="str">
        <f>IF(VLOOKUP($C10, Mapping!$C$2:$L$181, 3, FALSE) = 0, "", VLOOKUP($C10, Mapping!$C$2:$L$181, 3, FALSE))</f>
        <v>MIR.JOB_NAM</v>
      </c>
      <c r="F10" s="1" t="str">
        <f>IF(VLOOKUP($C10, Mapping!$C$2:$L$181, 4, FALSE) = 0, "", VLOOKUP($C10, Mapping!$C$2:$L$181, 4, FALSE))</f>
        <v>Test Program Name</v>
      </c>
      <c r="G10" s="1" t="str">
        <f>IF(VLOOKUP($C10, Mapping!$C$2:$L$181, 6, FALSE) = 0, "", VLOOKUP($C10, Mapping!$C$2:$L$181, 6, FALSE))</f>
        <v>vDbRecipe</v>
      </c>
      <c r="H10" s="2" t="str">
        <f>IF(VLOOKUP($C10, Mapping!$C$2:$L$181, 7, FALSE) = 0, "", VLOOKUP($C10, Mapping!$C$2:$L$181, 7, FALSE))</f>
        <v/>
      </c>
      <c r="I10" s="2" t="str">
        <f>IF(VLOOKUP($C10, Mapping!$C$2:$L$181, 8, FALSE) = 0, "", VLOOKUP($C10, Mapping!$C$2:$L$181, 8, FALSE))</f>
        <v/>
      </c>
      <c r="J10" s="2" t="str">
        <f>IF(VLOOKUP($C10, Mapping!$C$2:$L$181, 9, FALSE) = 0, "", VLOOKUP($C10, Mapping!$C$2:$L$181, 9, FALSE))</f>
        <v/>
      </c>
      <c r="K10" s="2" t="str">
        <f>IF(VLOOKUP($C10, Mapping!$C$2:$L$181, 10, FALSE) = 0, "", VLOOKUP($C10, Mapping!$C$2:$L$181, 10, FALSE))</f>
        <v/>
      </c>
    </row>
    <row r="11" spans="1:12" customFormat="1" x14ac:dyDescent="0.25">
      <c r="A11" s="11" t="s">
        <v>422</v>
      </c>
      <c r="B11" s="31" t="s">
        <v>17</v>
      </c>
      <c r="C11" s="1" t="str">
        <f t="shared" si="0"/>
        <v>File/Lot[JobRevision]</v>
      </c>
      <c r="D11" s="1" t="str">
        <f>IF(VLOOKUP($C11, Mapping!$C$2:$L$181, 2, FALSE) = 0, "", VLOOKUP($C11, Mapping!$C$2:$L$181, 2, FALSE))</f>
        <v>RecipeRevision</v>
      </c>
      <c r="E11" s="1" t="str">
        <f>IF(VLOOKUP($C11, Mapping!$C$2:$L$181, 3, FALSE) = 0, "", VLOOKUP($C11, Mapping!$C$2:$L$181, 3, FALSE))</f>
        <v>MIR.JOB_REV</v>
      </c>
      <c r="F11" s="1" t="str">
        <f>IF(VLOOKUP($C11, Mapping!$C$2:$L$181, 4, FALSE) = 0, "", VLOOKUP($C11, Mapping!$C$2:$L$181, 4, FALSE))</f>
        <v>Test Program Revision</v>
      </c>
      <c r="G11" s="1" t="str">
        <f>IF(VLOOKUP($C11, Mapping!$C$2:$L$181, 6, FALSE) = 0, "", VLOOKUP($C11, Mapping!$C$2:$L$181, 6, FALSE))</f>
        <v>vDbEquip5, vDbProgRev</v>
      </c>
      <c r="H11" s="2" t="str">
        <f>IF(VLOOKUP($C11, Mapping!$C$2:$L$181, 7, FALSE) = 0, "", VLOOKUP($C11, Mapping!$C$2:$L$181, 7, FALSE))</f>
        <v>Equip[5]</v>
      </c>
      <c r="I11" s="2" t="str">
        <f>IF(VLOOKUP($C11, Mapping!$C$2:$L$181, 8, FALSE) = 0, "", VLOOKUP($C11, Mapping!$C$2:$L$181, 8, FALSE))</f>
        <v/>
      </c>
      <c r="J11" s="2" t="str">
        <f>IF(VLOOKUP($C11, Mapping!$C$2:$L$181, 9, FALSE) = 0, "", VLOOKUP($C11, Mapping!$C$2:$L$181, 9, FALSE))</f>
        <v/>
      </c>
      <c r="K11" s="2" t="str">
        <f>IF(VLOOKUP($C11, Mapping!$C$2:$L$181, 10, FALSE) = 0, "", VLOOKUP($C11, Mapping!$C$2:$L$181, 10, FALSE))</f>
        <v/>
      </c>
    </row>
    <row r="12" spans="1:12" customFormat="1" x14ac:dyDescent="0.25">
      <c r="A12" s="11" t="s">
        <v>422</v>
      </c>
      <c r="B12" s="31" t="s">
        <v>18</v>
      </c>
      <c r="C12" s="1" t="str">
        <f t="shared" si="0"/>
        <v>File/Lot[LotId]</v>
      </c>
      <c r="D12" s="1" t="str">
        <f>IF(VLOOKUP($C12, Mapping!$C$2:$L$181, 2, FALSE) = 0, "", VLOOKUP($C12, Mapping!$C$2:$L$181, 2, FALSE))</f>
        <v>LotId</v>
      </c>
      <c r="E12" s="1" t="str">
        <f>IF(VLOOKUP($C12, Mapping!$C$2:$L$181, 3, FALSE) = 0, "", VLOOKUP($C12, Mapping!$C$2:$L$181, 3, FALSE))</f>
        <v>MIR.LOT_ID</v>
      </c>
      <c r="F12" s="1" t="str">
        <f>IF(VLOOKUP($C12, Mapping!$C$2:$L$181, 4, FALSE) = 0, "", VLOOKUP($C12, Mapping!$C$2:$L$181, 4, FALSE))</f>
        <v>Lot ID</v>
      </c>
      <c r="G12" s="1" t="str">
        <f>IF(VLOOKUP($C12, Mapping!$C$2:$L$181, 6, FALSE) = 0, "", VLOOKUP($C12, Mapping!$C$2:$L$181, 6, FALSE))</f>
        <v>vDbLot</v>
      </c>
      <c r="H12" s="2" t="str">
        <f>IF(VLOOKUP($C12, Mapping!$C$2:$L$181, 7, FALSE) = 0, "", VLOOKUP($C12, Mapping!$C$2:$L$181, 7, FALSE))</f>
        <v/>
      </c>
      <c r="I12" s="2" t="str">
        <f>IF(VLOOKUP($C12, Mapping!$C$2:$L$181, 8, FALSE) = 0, "", VLOOKUP($C12, Mapping!$C$2:$L$181, 8, FALSE))</f>
        <v/>
      </c>
      <c r="J12" s="2" t="str">
        <f>IF(VLOOKUP($C12, Mapping!$C$2:$L$181, 9, FALSE) = 0, "", VLOOKUP($C12, Mapping!$C$2:$L$181, 9, FALSE))</f>
        <v/>
      </c>
      <c r="K12" s="2" t="str">
        <f>IF(VLOOKUP($C12, Mapping!$C$2:$L$181, 10, FALSE) = 0, "", VLOOKUP($C12, Mapping!$C$2:$L$181, 10, FALSE))</f>
        <v/>
      </c>
    </row>
    <row r="13" spans="1:12" customFormat="1" x14ac:dyDescent="0.25">
      <c r="A13" s="11" t="s">
        <v>422</v>
      </c>
      <c r="B13" s="31" t="s">
        <v>342</v>
      </c>
      <c r="C13" s="1" t="str">
        <f t="shared" si="0"/>
        <v>File/Lot[ModeCode]</v>
      </c>
      <c r="D13" s="1" t="str">
        <f>IF(VLOOKUP($C13, Mapping!$C$2:$L$181, 2, FALSE) = 0, "", VLOOKUP($C13, Mapping!$C$2:$L$181, 2, FALSE))</f>
        <v/>
      </c>
      <c r="E13" s="1" t="str">
        <f>IF(VLOOKUP($C13, Mapping!$C$2:$L$181, 3, FALSE) = 0, "", VLOOKUP($C13, Mapping!$C$2:$L$181, 3, FALSE))</f>
        <v>MIR.MODE_COD</v>
      </c>
      <c r="F13" s="1" t="str">
        <f>IF(VLOOKUP($C13, Mapping!$C$2:$L$181, 4, FALSE) = 0, "", VLOOKUP($C13, Mapping!$C$2:$L$181, 4, FALSE))</f>
        <v/>
      </c>
      <c r="G13" s="1" t="str">
        <f>IF(VLOOKUP($C13, Mapping!$C$2:$L$181, 6, FALSE) = 0, "", VLOOKUP($C13, Mapping!$C$2:$L$181, 6, FALSE))</f>
        <v/>
      </c>
      <c r="H13" s="2" t="str">
        <f>IF(VLOOKUP($C13, Mapping!$C$2:$L$181, 7, FALSE) = 0, "", VLOOKUP($C13, Mapping!$C$2:$L$181, 7, FALSE))</f>
        <v/>
      </c>
      <c r="I13" s="2" t="str">
        <f>IF(VLOOKUP($C13, Mapping!$C$2:$L$181, 8, FALSE) = 0, "", VLOOKUP($C13, Mapping!$C$2:$L$181, 8, FALSE))</f>
        <v/>
      </c>
      <c r="J13" s="2" t="str">
        <f>IF(VLOOKUP($C13, Mapping!$C$2:$L$181, 9, FALSE) = 0, "", VLOOKUP($C13, Mapping!$C$2:$L$181, 9, FALSE))</f>
        <v/>
      </c>
      <c r="K13" s="2" t="str">
        <f>IF(VLOOKUP($C13, Mapping!$C$2:$L$181, 10, FALSE) = 0, "", VLOOKUP($C13, Mapping!$C$2:$L$181, 10, FALSE))</f>
        <v/>
      </c>
    </row>
    <row r="14" spans="1:12" customFormat="1" x14ac:dyDescent="0.25">
      <c r="A14" s="11" t="s">
        <v>422</v>
      </c>
      <c r="B14" s="31" t="s">
        <v>21</v>
      </c>
      <c r="C14" s="1" t="str">
        <f t="shared" si="0"/>
        <v>File/Lot[NodeName]</v>
      </c>
      <c r="D14" s="1" t="str">
        <f>IF(VLOOKUP($C14, Mapping!$C$2:$L$181, 2, FALSE) = 0, "", VLOOKUP($C14, Mapping!$C$2:$L$181, 2, FALSE))</f>
        <v>TesterHostName</v>
      </c>
      <c r="E14" s="1" t="str">
        <f>IF(VLOOKUP($C14, Mapping!$C$2:$L$181, 3, FALSE) = 0, "", VLOOKUP($C14, Mapping!$C$2:$L$181, 3, FALSE))</f>
        <v>MIR.NODE_NAM</v>
      </c>
      <c r="F14" s="1" t="str">
        <f>IF(VLOOKUP($C14, Mapping!$C$2:$L$181, 4, FALSE) = 0, "", VLOOKUP($C14, Mapping!$C$2:$L$181, 4, FALSE))</f>
        <v>Tester Host Name</v>
      </c>
      <c r="G14" s="1" t="str">
        <f>IF(VLOOKUP($C14, Mapping!$C$2:$L$181, 6, FALSE) = 0, "", VLOOKUP($C14, Mapping!$C$2:$L$181, 6, FALSE))</f>
        <v>DbMetaData("Tester Host Name", vTesterHostName)</v>
      </c>
      <c r="H14" s="2" t="str">
        <f>IF(VLOOKUP($C14, Mapping!$C$2:$L$181, 7, FALSE) = 0, "", VLOOKUP($C14, Mapping!$C$2:$L$181, 7, FALSE))</f>
        <v>op_log linked index 6</v>
      </c>
      <c r="I14" s="2" t="str">
        <f>IF(VLOOKUP($C14, Mapping!$C$2:$L$181, 8, FALSE) = 0, "", VLOOKUP($C14, Mapping!$C$2:$L$181, 8, FALSE))</f>
        <v/>
      </c>
      <c r="J14" s="2" t="str">
        <f>IF(VLOOKUP($C14, Mapping!$C$2:$L$181, 9, FALSE) = 0, "", VLOOKUP($C14, Mapping!$C$2:$L$181, 9, FALSE))</f>
        <v/>
      </c>
      <c r="K14" s="2" t="str">
        <f>IF(VLOOKUP($C14, Mapping!$C$2:$L$181, 10, FALSE) = 0, "", VLOOKUP($C14, Mapping!$C$2:$L$181, 10, FALSE))</f>
        <v/>
      </c>
    </row>
    <row r="15" spans="1:12" customFormat="1" x14ac:dyDescent="0.25">
      <c r="A15" s="11" t="s">
        <v>422</v>
      </c>
      <c r="B15" s="31" t="s">
        <v>14</v>
      </c>
      <c r="C15" s="1" t="str">
        <f t="shared" si="0"/>
        <v>File/Lot[OperatorName]</v>
      </c>
      <c r="D15" s="1" t="str">
        <f>IF(VLOOKUP($C15, Mapping!$C$2:$L$181, 2, FALSE) = 0, "", VLOOKUP($C15, Mapping!$C$2:$L$181, 2, FALSE))</f>
        <v>Operator</v>
      </c>
      <c r="E15" s="1" t="str">
        <f>IF(VLOOKUP($C15, Mapping!$C$2:$L$181, 3, FALSE) = 0, "", VLOOKUP($C15, Mapping!$C$2:$L$181, 3, FALSE))</f>
        <v>MIR.OPER_NAM</v>
      </c>
      <c r="F15" s="1" t="str">
        <f>IF(VLOOKUP($C15, Mapping!$C$2:$L$181, 4, FALSE) = 0, "", VLOOKUP($C15, Mapping!$C$2:$L$181, 4, FALSE))</f>
        <v>Operator ID</v>
      </c>
      <c r="G15" s="1" t="str">
        <f>IF(VLOOKUP($C15, Mapping!$C$2:$L$181, 6, FALSE) = 0, "", VLOOKUP($C15, Mapping!$C$2:$L$181, 6, FALSE))</f>
        <v>vDbOperator</v>
      </c>
      <c r="H15" s="2" t="str">
        <f>IF(VLOOKUP($C15, Mapping!$C$2:$L$181, 7, FALSE) = 0, "", VLOOKUP($C15, Mapping!$C$2:$L$181, 7, FALSE))</f>
        <v/>
      </c>
      <c r="I15" s="2" t="str">
        <f>IF(VLOOKUP($C15, Mapping!$C$2:$L$181, 8, FALSE) = 0, "", VLOOKUP($C15, Mapping!$C$2:$L$181, 8, FALSE))</f>
        <v/>
      </c>
      <c r="J15" s="2" t="str">
        <f>IF(VLOOKUP($C15, Mapping!$C$2:$L$181, 9, FALSE) = 0, "", VLOOKUP($C15, Mapping!$C$2:$L$181, 9, FALSE))</f>
        <v/>
      </c>
      <c r="K15" s="2" t="str">
        <f>IF(VLOOKUP($C15, Mapping!$C$2:$L$181, 10, FALSE) = 0, "", VLOOKUP($C15, Mapping!$C$2:$L$181, 10, FALSE))</f>
        <v/>
      </c>
    </row>
    <row r="16" spans="1:12" customFormat="1" x14ac:dyDescent="0.25">
      <c r="A16" s="11" t="s">
        <v>422</v>
      </c>
      <c r="B16" s="31" t="s">
        <v>27</v>
      </c>
      <c r="C16" s="1" t="str">
        <f t="shared" si="0"/>
        <v>File/Lot[SublotId]</v>
      </c>
      <c r="D16" s="1" t="str">
        <f>IF(VLOOKUP($C16, Mapping!$C$2:$L$181, 2, FALSE) = 0, "", VLOOKUP($C16, Mapping!$C$2:$L$181, 2, FALSE))</f>
        <v>SourceLot</v>
      </c>
      <c r="E16" s="1" t="str">
        <f>IF(VLOOKUP($C16, Mapping!$C$2:$L$181, 3, FALSE) = 0, "", VLOOKUP($C16, Mapping!$C$2:$L$181, 3, FALSE))</f>
        <v>MIR.SBLOT_ID</v>
      </c>
      <c r="F16" s="1" t="str">
        <f>IF(VLOOKUP($C16, Mapping!$C$2:$L$181, 4, FALSE) = 0, "", VLOOKUP($C16, Mapping!$C$2:$L$181, 4, FALSE))</f>
        <v>Source Lot</v>
      </c>
      <c r="G16" s="1" t="str">
        <f>IF(VLOOKUP($C16, Mapping!$C$2:$L$181, 6, FALSE) = 0, "", VLOOKUP($C16, Mapping!$C$2:$L$181, 6, FALSE))</f>
        <v>vDbSrcLot</v>
      </c>
      <c r="H16" s="2" t="str">
        <f>IF(VLOOKUP($C16, Mapping!$C$2:$L$181, 7, FALSE) = 0, "", VLOOKUP($C16, Mapping!$C$2:$L$181, 7, FALSE))</f>
        <v/>
      </c>
      <c r="I16" s="2" t="str">
        <f>IF(VLOOKUP($C16, Mapping!$C$2:$L$181, 8, FALSE) = 0, "", VLOOKUP($C16, Mapping!$C$2:$L$181, 8, FALSE))</f>
        <v/>
      </c>
      <c r="J16" s="2" t="str">
        <f>IF(VLOOKUP($C16, Mapping!$C$2:$L$181, 9, FALSE) = 0, "", VLOOKUP($C16, Mapping!$C$2:$L$181, 9, FALSE))</f>
        <v/>
      </c>
      <c r="K16" s="2" t="str">
        <f>IF(VLOOKUP($C16, Mapping!$C$2:$L$181, 10, FALSE) = 0, "", VLOOKUP($C16, Mapping!$C$2:$L$181, 10, FALSE))</f>
        <v>If not ends ".S", ".S" is being added behind the "."</v>
      </c>
    </row>
    <row r="17" spans="1:11" customFormat="1" x14ac:dyDescent="0.25">
      <c r="A17" s="11" t="s">
        <v>422</v>
      </c>
      <c r="B17" s="31" t="s">
        <v>19</v>
      </c>
      <c r="C17" s="1" t="str">
        <f t="shared" si="0"/>
        <v>File/Lot[StartTime]</v>
      </c>
      <c r="D17" s="1" t="str">
        <f>IF(VLOOKUP($C17, Mapping!$C$2:$L$181, 2, FALSE) = 0, "", VLOOKUP($C17, Mapping!$C$2:$L$181, 2, FALSE))</f>
        <v>StartTime</v>
      </c>
      <c r="E17" s="1" t="str">
        <f>IF(VLOOKUP($C17, Mapping!$C$2:$L$181, 3, FALSE) = 0, "", VLOOKUP($C17, Mapping!$C$2:$L$181, 3, FALSE))</f>
        <v>MIR.START_T</v>
      </c>
      <c r="F17" s="1" t="str">
        <f>IF(VLOOKUP($C17, Mapping!$C$2:$L$181, 4, FALSE) = 0, "", VLOOKUP($C17, Mapping!$C$2:$L$181, 4, FALSE))</f>
        <v>Start Time</v>
      </c>
      <c r="G17" s="1" t="str">
        <f>IF(VLOOKUP($C17, Mapping!$C$2:$L$181, 6, FALSE) = 0, "", VLOOKUP($C17, Mapping!$C$2:$L$181, 6, FALSE))</f>
        <v>vDbStartTime</v>
      </c>
      <c r="H17" s="2" t="str">
        <f>IF(VLOOKUP($C17, Mapping!$C$2:$L$181, 7, FALSE) = 0, "", VLOOKUP($C17, Mapping!$C$2:$L$181, 7, FALSE))</f>
        <v/>
      </c>
      <c r="I17" s="2" t="str">
        <f>IF(VLOOKUP($C17, Mapping!$C$2:$L$181, 8, FALSE) = 0, "", VLOOKUP($C17, Mapping!$C$2:$L$181, 8, FALSE))</f>
        <v/>
      </c>
      <c r="J17" s="2" t="str">
        <f>IF(VLOOKUP($C17, Mapping!$C$2:$L$181, 9, FALSE) = 0, "", VLOOKUP($C17, Mapping!$C$2:$L$181, 9, FALSE))</f>
        <v/>
      </c>
      <c r="K17" s="2" t="str">
        <f>IF(VLOOKUP($C17, Mapping!$C$2:$L$181, 10, FALSE) = 0, "", VLOOKUP($C17, Mapping!$C$2:$L$181, 10, FALSE))</f>
        <v/>
      </c>
    </row>
    <row r="18" spans="1:11" customFormat="1" x14ac:dyDescent="0.25">
      <c r="A18" s="11" t="s">
        <v>422</v>
      </c>
      <c r="B18" s="31" t="s">
        <v>28</v>
      </c>
      <c r="C18" s="1" t="str">
        <f t="shared" si="0"/>
        <v>File/Lot[TestTemperature]</v>
      </c>
      <c r="D18" s="1" t="str">
        <f>IF(VLOOKUP($C18, Mapping!$C$2:$L$181, 2, FALSE) = 0, "", VLOOKUP($C18, Mapping!$C$2:$L$181, 2, FALSE))</f>
        <v>Temperature</v>
      </c>
      <c r="E18" s="1" t="str">
        <f>IF(VLOOKUP($C18, Mapping!$C$2:$L$181, 3, FALSE) = 0, "", VLOOKUP($C18, Mapping!$C$2:$L$181, 3, FALSE))</f>
        <v>MIR.TST_TEMP</v>
      </c>
      <c r="F18" s="1" t="str">
        <f>IF(VLOOKUP($C18, Mapping!$C$2:$L$181, 4, FALSE) = 0, "", VLOOKUP($C18, Mapping!$C$2:$L$181, 4, FALSE))</f>
        <v>Temperature</v>
      </c>
      <c r="G18" s="1" t="str">
        <f>IF(VLOOKUP($C18, Mapping!$C$2:$L$181, 6, FALSE) = 0, "", VLOOKUP($C18, Mapping!$C$2:$L$181, 6, FALSE))</f>
        <v>DbMetaData("Temperature", vTemperature)</v>
      </c>
      <c r="H18" s="2" t="str">
        <f>IF(VLOOKUP($C18, Mapping!$C$2:$L$181, 7, FALSE) = 0, "", VLOOKUP($C18, Mapping!$C$2:$L$181, 7, FALSE))</f>
        <v>op_log linked index 5</v>
      </c>
      <c r="I18" s="2" t="str">
        <f>IF(VLOOKUP($C18, Mapping!$C$2:$L$181, 8, FALSE) = 0, "", VLOOKUP($C18, Mapping!$C$2:$L$181, 8, FALSE))</f>
        <v/>
      </c>
      <c r="J18" s="2" t="str">
        <f>IF(VLOOKUP($C18, Mapping!$C$2:$L$181, 9, FALSE) = 0, "", VLOOKUP($C18, Mapping!$C$2:$L$181, 9, FALSE))</f>
        <v/>
      </c>
      <c r="K18" s="2" t="str">
        <f>IF(VLOOKUP($C18, Mapping!$C$2:$L$181, 10, FALSE) = 0, "", VLOOKUP($C18, Mapping!$C$2:$L$181, 10, FALSE))</f>
        <v/>
      </c>
    </row>
    <row r="19" spans="1:11" customFormat="1" x14ac:dyDescent="0.25">
      <c r="A19" s="11" t="s">
        <v>422</v>
      </c>
      <c r="B19" s="31" t="s">
        <v>11</v>
      </c>
      <c r="C19" s="1" t="str">
        <f t="shared" si="0"/>
        <v>File/Lot[TesterType]</v>
      </c>
      <c r="D19" s="1" t="str">
        <f>IF(VLOOKUP($C19, Mapping!$C$2:$L$181, 2, FALSE) = 0, "", VLOOKUP($C19, Mapping!$C$2:$L$181, 2, FALSE))</f>
        <v>TesterType</v>
      </c>
      <c r="E19" s="1" t="str">
        <f>IF(VLOOKUP($C19, Mapping!$C$2:$L$181, 3, FALSE) = 0, "", VLOOKUP($C19, Mapping!$C$2:$L$181, 3, FALSE))</f>
        <v>MIR.TSTR_TYP</v>
      </c>
      <c r="F19" s="1" t="str">
        <f>IF(VLOOKUP($C19, Mapping!$C$2:$L$181, 4, FALSE) = 0, "", VLOOKUP($C19, Mapping!$C$2:$L$181, 4, FALSE))</f>
        <v>Tester Type/Model</v>
      </c>
      <c r="G19" s="1" t="str">
        <f>IF(VLOOKUP($C19, Mapping!$C$2:$L$181, 6, FALSE) = 0, "", VLOOKUP($C19, Mapping!$C$2:$L$181, 6, FALSE))</f>
        <v/>
      </c>
      <c r="H19" s="2" t="str">
        <f>IF(VLOOKUP($C19, Mapping!$C$2:$L$181, 7, FALSE) = 0, "", VLOOKUP($C19, Mapping!$C$2:$L$181, 7, FALSE))</f>
        <v>Equip[1] Type</v>
      </c>
      <c r="I19" s="2" t="str">
        <f>IF(VLOOKUP($C19, Mapping!$C$2:$L$181, 8, FALSE) = 0, "", VLOOKUP($C19, Mapping!$C$2:$L$181, 8, FALSE))</f>
        <v/>
      </c>
      <c r="J19" s="2" t="str">
        <f>IF(VLOOKUP($C19, Mapping!$C$2:$L$181, 9, FALSE) = 0, "", VLOOKUP($C19, Mapping!$C$2:$L$181, 9, FALSE))</f>
        <v/>
      </c>
      <c r="K19" s="2" t="str">
        <f>IF(VLOOKUP($C19, Mapping!$C$2:$L$181, 10, FALSE) = 0, "", VLOOKUP($C19, Mapping!$C$2:$L$181, 10, FALSE))</f>
        <v/>
      </c>
    </row>
    <row r="20" spans="1:11" customFormat="1" x14ac:dyDescent="0.25">
      <c r="A20" s="11" t="s">
        <v>422</v>
      </c>
      <c r="B20" s="31" t="s">
        <v>55</v>
      </c>
      <c r="C20" s="1" t="str">
        <f t="shared" si="0"/>
        <v>File/Lot[FloorId]</v>
      </c>
      <c r="D20" s="1" t="str">
        <f>IF(VLOOKUP($C20, Mapping!$C$2:$L$181, 2, FALSE) = 0, "", VLOOKUP($C20, Mapping!$C$2:$L$181, 2, FALSE))</f>
        <v>TestFloor</v>
      </c>
      <c r="E20" s="1" t="str">
        <f>IF(VLOOKUP($C20, Mapping!$C$2:$L$181, 3, FALSE) = 0, "", VLOOKUP($C20, Mapping!$C$2:$L$181, 3, FALSE))</f>
        <v>MIR.FLOOR_ID</v>
      </c>
      <c r="F20" s="1" t="str">
        <f>IF(VLOOKUP($C20, Mapping!$C$2:$L$181, 4, FALSE) = 0, "", VLOOKUP($C20, Mapping!$C$2:$L$181, 4, FALSE))</f>
        <v>Test Floor</v>
      </c>
      <c r="G20" s="1" t="str">
        <f>IF(VLOOKUP($C20, Mapping!$C$2:$L$181, 6, FALSE) = 0, "", VLOOKUP($C20, Mapping!$C$2:$L$181, 6, FALSE))</f>
        <v>DbMetaData("Test Floor", vTestFloor)</v>
      </c>
      <c r="H20" s="2" t="str">
        <f>IF(VLOOKUP($C20, Mapping!$C$2:$L$181, 7, FALSE) = 0, "", VLOOKUP($C20, Mapping!$C$2:$L$181, 7, FALSE))</f>
        <v>op_log linked index 2</v>
      </c>
      <c r="I20" s="2" t="str">
        <f>IF(VLOOKUP($C20, Mapping!$C$2:$L$181, 8, FALSE) = 0, "", VLOOKUP($C20, Mapping!$C$2:$L$181, 8, FALSE))</f>
        <v/>
      </c>
      <c r="J20" s="2" t="str">
        <f>IF(VLOOKUP($C20, Mapping!$C$2:$L$181, 9, FALSE) = 0, "", VLOOKUP($C20, Mapping!$C$2:$L$181, 9, FALSE))</f>
        <v/>
      </c>
      <c r="K20" s="2" t="str">
        <f>IF(VLOOKUP($C20, Mapping!$C$2:$L$181, 10, FALSE) = 0, "", VLOOKUP($C20, Mapping!$C$2:$L$181, 10, FALSE))</f>
        <v/>
      </c>
    </row>
    <row r="21" spans="1:11" customFormat="1" x14ac:dyDescent="0.25">
      <c r="A21" s="11" t="s">
        <v>422</v>
      </c>
      <c r="B21" s="31" t="s">
        <v>56</v>
      </c>
      <c r="C21" s="1" t="str">
        <f t="shared" si="0"/>
        <v>File/Lot[ExecType]</v>
      </c>
      <c r="D21" s="1" t="str">
        <f>IF(VLOOKUP($C21, Mapping!$C$2:$L$181, 2, FALSE) = 0, "", VLOOKUP($C21, Mapping!$C$2:$L$181, 2, FALSE))</f>
        <v>TesterSoftware</v>
      </c>
      <c r="E21" s="1" t="str">
        <f>IF(VLOOKUP($C21, Mapping!$C$2:$L$181, 3, FALSE) = 0, "", VLOOKUP($C21, Mapping!$C$2:$L$181, 3, FALSE))</f>
        <v>MIR.EXEC_TYP</v>
      </c>
      <c r="F21" s="1" t="str">
        <f>IF(VLOOKUP($C21, Mapping!$C$2:$L$181, 4, FALSE) = 0, "", VLOOKUP($C21, Mapping!$C$2:$L$181, 4, FALSE))</f>
        <v>Tester Software</v>
      </c>
      <c r="G21" s="1" t="str">
        <f>IF(VLOOKUP($C21, Mapping!$C$2:$L$181, 6, FALSE) = 0, "", VLOOKUP($C21, Mapping!$C$2:$L$181, 6, FALSE))</f>
        <v>DbMetaData("Test Software", vFileName)</v>
      </c>
      <c r="H21" s="2" t="str">
        <f>IF(VLOOKUP($C21, Mapping!$C$2:$L$181, 7, FALSE) = 0, "", VLOOKUP($C21, Mapping!$C$2:$L$181, 7, FALSE))</f>
        <v>op_log linked index 8</v>
      </c>
      <c r="I21" s="2" t="str">
        <f>IF(VLOOKUP($C21, Mapping!$C$2:$L$181, 8, FALSE) = 0, "", VLOOKUP($C21, Mapping!$C$2:$L$181, 8, FALSE))</f>
        <v/>
      </c>
      <c r="J21" s="2" t="str">
        <f>IF(VLOOKUP($C21, Mapping!$C$2:$L$181, 9, FALSE) = 0, "", VLOOKUP($C21, Mapping!$C$2:$L$181, 9, FALSE))</f>
        <v/>
      </c>
      <c r="K21" s="2" t="str">
        <f>IF(VLOOKUP($C21, Mapping!$C$2:$L$181, 10, FALSE) = 0, "", VLOOKUP($C21, Mapping!$C$2:$L$181, 10, FALSE))</f>
        <v/>
      </c>
    </row>
    <row r="22" spans="1:11" customFormat="1" x14ac:dyDescent="0.25">
      <c r="A22" s="11" t="s">
        <v>422</v>
      </c>
      <c r="B22" s="31" t="s">
        <v>57</v>
      </c>
      <c r="C22" s="1" t="str">
        <f t="shared" si="0"/>
        <v>File/Lot[ExecVersion]</v>
      </c>
      <c r="D22" s="1" t="str">
        <f>IF(VLOOKUP($C22, Mapping!$C$2:$L$181, 2, FALSE) = 0, "", VLOOKUP($C22, Mapping!$C$2:$L$181, 2, FALSE))</f>
        <v>TesterSoftwareRevision</v>
      </c>
      <c r="E22" s="1" t="str">
        <f>IF(VLOOKUP($C22, Mapping!$C$2:$L$181, 3, FALSE) = 0, "", VLOOKUP($C22, Mapping!$C$2:$L$181, 3, FALSE))</f>
        <v>MIR.EXEC_VER</v>
      </c>
      <c r="F22" s="1" t="str">
        <f>IF(VLOOKUP($C22, Mapping!$C$2:$L$181, 4, FALSE) = 0, "", VLOOKUP($C22, Mapping!$C$2:$L$181, 4, FALSE))</f>
        <v>Tester Software Version</v>
      </c>
      <c r="G22" s="1" t="str">
        <f>IF(VLOOKUP($C22, Mapping!$C$2:$L$181, 6, FALSE) = 0, "", VLOOKUP($C22, Mapping!$C$2:$L$181, 6, FALSE))</f>
        <v>DbMetaData("Tester Software Version", vTesterSoftwareVersion)</v>
      </c>
      <c r="H22" s="2" t="str">
        <f>IF(VLOOKUP($C22, Mapping!$C$2:$L$181, 7, FALSE) = 0, "", VLOOKUP($C22, Mapping!$C$2:$L$181, 7, FALSE))</f>
        <v>op_log linked index 9</v>
      </c>
      <c r="I22" s="2" t="str">
        <f>IF(VLOOKUP($C22, Mapping!$C$2:$L$181, 8, FALSE) = 0, "", VLOOKUP($C22, Mapping!$C$2:$L$181, 8, FALSE))</f>
        <v/>
      </c>
      <c r="J22" s="2" t="str">
        <f>IF(VLOOKUP($C22, Mapping!$C$2:$L$181, 9, FALSE) = 0, "", VLOOKUP($C22, Mapping!$C$2:$L$181, 9, FALSE))</f>
        <v/>
      </c>
      <c r="K22" s="2" t="str">
        <f>IF(VLOOKUP($C22, Mapping!$C$2:$L$181, 10, FALSE) = 0, "", VLOOKUP($C22, Mapping!$C$2:$L$181, 10, FALSE))</f>
        <v/>
      </c>
    </row>
    <row r="23" spans="1:11" customFormat="1" x14ac:dyDescent="0.25">
      <c r="A23" s="11" t="s">
        <v>422</v>
      </c>
      <c r="B23" s="31" t="s">
        <v>192</v>
      </c>
      <c r="C23" s="1" t="str">
        <f t="shared" si="0"/>
        <v>File/Lot[AUXFile]</v>
      </c>
      <c r="D23" s="1" t="str">
        <f>IF(VLOOKUP($C23, Mapping!$C$2:$L$181, 2, FALSE) = 0, "", VLOOKUP($C23, Mapping!$C$2:$L$181, 2, FALSE))</f>
        <v>PdsFile</v>
      </c>
      <c r="E23" s="1" t="str">
        <f>IF(VLOOKUP($C23, Mapping!$C$2:$L$181, 3, FALSE) = 0, "", VLOOKUP($C23, Mapping!$C$2:$L$181, 3, FALSE))</f>
        <v>MIR.AUX_FILE</v>
      </c>
      <c r="F23" s="1" t="str">
        <f>IF(VLOOKUP($C23, Mapping!$C$2:$L$181, 4, FALSE) = 0, "", VLOOKUP($C23, Mapping!$C$2:$L$181, 4, FALSE))</f>
        <v>PDS File</v>
      </c>
      <c r="G23" s="1" t="str">
        <f>IF(VLOOKUP($C23, Mapping!$C$2:$L$181, 6, FALSE) = 0, "", VLOOKUP($C23, Mapping!$C$2:$L$181, 6, FALSE))</f>
        <v>DbMetaData("PDS File", vFileName)</v>
      </c>
      <c r="H23" s="2" t="str">
        <f>IF(VLOOKUP($C23, Mapping!$C$2:$L$181, 7, FALSE) = 0, "", VLOOKUP($C23, Mapping!$C$2:$L$181, 7, FALSE))</f>
        <v>op_log linked index 16</v>
      </c>
      <c r="I23" s="2" t="str">
        <f>IF(VLOOKUP($C23, Mapping!$C$2:$L$181, 8, FALSE) = 0, "", VLOOKUP($C23, Mapping!$C$2:$L$181, 8, FALSE))</f>
        <v/>
      </c>
      <c r="J23" s="2" t="str">
        <f>IF(VLOOKUP($C23, Mapping!$C$2:$L$181, 9, FALSE) = 0, "", VLOOKUP($C23, Mapping!$C$2:$L$181, 9, FALSE))</f>
        <v/>
      </c>
      <c r="K23" s="2" t="str">
        <f>IF(VLOOKUP($C23, Mapping!$C$2:$L$181, 10, FALSE) = 0, "", VLOOKUP($C23, Mapping!$C$2:$L$181, 10, FALSE))</f>
        <v/>
      </c>
    </row>
    <row r="24" spans="1:11" customFormat="1" x14ac:dyDescent="0.25">
      <c r="A24" s="11" t="s">
        <v>423</v>
      </c>
      <c r="B24" s="31" t="s">
        <v>30</v>
      </c>
      <c r="C24" s="1" t="str">
        <f t="shared" si="0"/>
        <v>File/Lot/Wafer[WaferId]</v>
      </c>
      <c r="D24" s="1" t="str">
        <f>IF(VLOOKUP($C24, Mapping!$C$2:$L$181, 2, FALSE) = 0, "", VLOOKUP($C24, Mapping!$C$2:$L$181, 2, FALSE))</f>
        <v>WaferNumber</v>
      </c>
      <c r="E24" s="1" t="str">
        <f>IF(VLOOKUP($C24, Mapping!$C$2:$L$181, 3, FALSE) = 0, "", VLOOKUP($C24, Mapping!$C$2:$L$181, 3, FALSE))</f>
        <v/>
      </c>
      <c r="F24" s="1" t="str">
        <f>IF(VLOOKUP($C24, Mapping!$C$2:$L$181, 4, FALSE) = 0, "", VLOOKUP($C24, Mapping!$C$2:$L$181, 4, FALSE))</f>
        <v>Wafer Number</v>
      </c>
      <c r="G24" s="1" t="str">
        <f>IF(VLOOKUP($C24, Mapping!$C$2:$L$181, 6, FALSE) = 0, "", VLOOKUP($C24, Mapping!$C$2:$L$181, 6, FALSE))</f>
        <v>vDbWfNum</v>
      </c>
      <c r="H24" s="2" t="str">
        <f>IF(VLOOKUP($C24, Mapping!$C$2:$L$181, 7, FALSE) = 0, "", VLOOKUP($C24, Mapping!$C$2:$L$181, 7, FALSE))</f>
        <v/>
      </c>
      <c r="I24" s="2" t="str">
        <f>IF(VLOOKUP($C24, Mapping!$C$2:$L$181, 8, FALSE) = 0, "", VLOOKUP($C24, Mapping!$C$2:$L$181, 8, FALSE))</f>
        <v/>
      </c>
      <c r="J24" s="2" t="str">
        <f>IF(VLOOKUP($C24, Mapping!$C$2:$L$181, 9, FALSE) = 0, "", VLOOKUP($C24, Mapping!$C$2:$L$181, 9, FALSE))</f>
        <v/>
      </c>
      <c r="K24" s="2" t="str">
        <f>IF(VLOOKUP($C24, Mapping!$C$2:$L$181, 10, FALSE) = 0, "", VLOOKUP($C24, Mapping!$C$2:$L$181, 10, FALSE))</f>
        <v/>
      </c>
    </row>
    <row r="25" spans="1:11" customFormat="1" x14ac:dyDescent="0.25">
      <c r="A25" s="11" t="s">
        <v>424</v>
      </c>
      <c r="B25" s="31" t="s">
        <v>7</v>
      </c>
      <c r="C25" s="1" t="str">
        <f t="shared" si="0"/>
        <v>File/Lot/Parameters/Param[Id]</v>
      </c>
      <c r="D25" s="1" t="str">
        <f>IF(VLOOKUP($C25, Mapping!$C$2:$L$181, 2, FALSE) = 0, "", VLOOKUP($C25, Mapping!$C$2:$L$181, 2, FALSE))</f>
        <v/>
      </c>
      <c r="E25" s="1" t="str">
        <f>IF(VLOOKUP($C25, Mapping!$C$2:$L$181, 3, FALSE) = 0, "", VLOOKUP($C25, Mapping!$C$2:$L$181, 3, FALSE))</f>
        <v/>
      </c>
      <c r="F25" s="1" t="str">
        <f>IF(VLOOKUP($C25, Mapping!$C$2:$L$181, 4, FALSE) = 0, "", VLOOKUP($C25, Mapping!$C$2:$L$181, 4, FALSE))</f>
        <v/>
      </c>
      <c r="G25" s="1" t="str">
        <f>IF(VLOOKUP($C25, Mapping!$C$2:$L$181, 6, FALSE) = 0, "", VLOOKUP($C25, Mapping!$C$2:$L$181, 6, FALSE))</f>
        <v/>
      </c>
      <c r="H25" s="2" t="str">
        <f>IF(VLOOKUP($C25, Mapping!$C$2:$L$181, 7, FALSE) = 0, "", VLOOKUP($C25, Mapping!$C$2:$L$181, 7, FALSE))</f>
        <v/>
      </c>
      <c r="I25" s="2" t="str">
        <f>IF(VLOOKUP($C25, Mapping!$C$2:$L$181, 8, FALSE) = 0, "", VLOOKUP($C25, Mapping!$C$2:$L$181, 8, FALSE))</f>
        <v/>
      </c>
      <c r="J25" s="2" t="str">
        <f>IF(VLOOKUP($C25, Mapping!$C$2:$L$181, 9, FALSE) = 0, "", VLOOKUP($C25, Mapping!$C$2:$L$181, 9, FALSE))</f>
        <v/>
      </c>
      <c r="K25" s="2" t="str">
        <f>IF(VLOOKUP($C25, Mapping!$C$2:$L$181, 10, FALSE) = 0, "", VLOOKUP($C25, Mapping!$C$2:$L$181, 10, FALSE))</f>
        <v/>
      </c>
    </row>
    <row r="26" spans="1:11" customFormat="1" x14ac:dyDescent="0.25">
      <c r="A26" s="11" t="s">
        <v>424</v>
      </c>
      <c r="B26" s="31" t="s">
        <v>32</v>
      </c>
      <c r="C26" s="1" t="str">
        <f t="shared" si="0"/>
        <v>File/Lot/Parameters/Param[TestName]</v>
      </c>
      <c r="D26" s="1" t="str">
        <f>IF(VLOOKUP($C26, Mapping!$C$2:$L$181, 2, FALSE) = 0, "", VLOOKUP($C26, Mapping!$C$2:$L$181, 2, FALSE))</f>
        <v/>
      </c>
      <c r="E26" s="1" t="str">
        <f>IF(VLOOKUP($C26, Mapping!$C$2:$L$181, 3, FALSE) = 0, "", VLOOKUP($C26, Mapping!$C$2:$L$181, 3, FALSE))</f>
        <v/>
      </c>
      <c r="F26" s="1" t="str">
        <f>IF(VLOOKUP($C26, Mapping!$C$2:$L$181, 4, FALSE) = 0, "", VLOOKUP($C26, Mapping!$C$2:$L$181, 4, FALSE))</f>
        <v>TestName (KeyCond)</v>
      </c>
      <c r="G26" s="1" t="str">
        <f>IF(VLOOKUP($C26, Mapping!$C$2:$L$181, 6, FALSE) = 0, "", VLOOKUP($C26, Mapping!$C$2:$L$181, 6, FALSE))</f>
        <v/>
      </c>
      <c r="H26" s="2" t="str">
        <f>IF(VLOOKUP($C26, Mapping!$C$2:$L$181, 7, FALSE) = 0, "", VLOOKUP($C26, Mapping!$C$2:$L$181, 7, FALSE))</f>
        <v/>
      </c>
      <c r="I26" s="2" t="str">
        <f>IF(VLOOKUP($C26, Mapping!$C$2:$L$181, 8, FALSE) = 0, "", VLOOKUP($C26, Mapping!$C$2:$L$181, 8, FALSE))</f>
        <v/>
      </c>
      <c r="J26" s="2" t="str">
        <f>IF(VLOOKUP($C26, Mapping!$C$2:$L$181, 9, FALSE) = 0, "", VLOOKUP($C26, Mapping!$C$2:$L$181, 9, FALSE))</f>
        <v/>
      </c>
      <c r="K26" s="2" t="str">
        <f>IF(VLOOKUP($C26, Mapping!$C$2:$L$181, 10, FALSE) = 0, "", VLOOKUP($C26, Mapping!$C$2:$L$181, 10, FALSE))</f>
        <v/>
      </c>
    </row>
    <row r="27" spans="1:11" customFormat="1" x14ac:dyDescent="0.25">
      <c r="A27" s="11" t="s">
        <v>424</v>
      </c>
      <c r="B27" s="31" t="s">
        <v>33</v>
      </c>
      <c r="C27" s="1" t="str">
        <f t="shared" si="0"/>
        <v>File/Lot/Parameters/Param[TestNumber]</v>
      </c>
      <c r="D27" s="1" t="str">
        <f>IF(VLOOKUP($C27, Mapping!$C$2:$L$181, 2, FALSE) = 0, "", VLOOKUP($C27, Mapping!$C$2:$L$181, 2, FALSE))</f>
        <v/>
      </c>
      <c r="E27" s="1" t="str">
        <f>IF(VLOOKUP($C27, Mapping!$C$2:$L$181, 3, FALSE) = 0, "", VLOOKUP($C27, Mapping!$C$2:$L$181, 3, FALSE))</f>
        <v/>
      </c>
      <c r="F27" s="1" t="str">
        <f>IF(VLOOKUP($C27, Mapping!$C$2:$L$181, 4, FALSE) = 0, "", VLOOKUP($C27, Mapping!$C$2:$L$181, 4, FALSE))</f>
        <v>TestNumber (KeyCond)</v>
      </c>
      <c r="G27" s="1" t="str">
        <f>IF(VLOOKUP($C27, Mapping!$C$2:$L$181, 6, FALSE) = 0, "", VLOOKUP($C27, Mapping!$C$2:$L$181, 6, FALSE))</f>
        <v/>
      </c>
      <c r="H27" s="2" t="str">
        <f>IF(VLOOKUP($C27, Mapping!$C$2:$L$181, 7, FALSE) = 0, "", VLOOKUP($C27, Mapping!$C$2:$L$181, 7, FALSE))</f>
        <v/>
      </c>
      <c r="I27" s="2" t="str">
        <f>IF(VLOOKUP($C27, Mapping!$C$2:$L$181, 8, FALSE) = 0, "", VLOOKUP($C27, Mapping!$C$2:$L$181, 8, FALSE))</f>
        <v/>
      </c>
      <c r="J27" s="2" t="str">
        <f>IF(VLOOKUP($C27, Mapping!$C$2:$L$181, 9, FALSE) = 0, "", VLOOKUP($C27, Mapping!$C$2:$L$181, 9, FALSE))</f>
        <v/>
      </c>
      <c r="K27" s="2" t="str">
        <f>IF(VLOOKUP($C27, Mapping!$C$2:$L$181, 10, FALSE) = 0, "", VLOOKUP($C27, Mapping!$C$2:$L$181, 10, FALSE))</f>
        <v/>
      </c>
    </row>
    <row r="28" spans="1:11" customFormat="1" x14ac:dyDescent="0.25">
      <c r="A28" s="11" t="s">
        <v>424</v>
      </c>
      <c r="B28" s="31" t="s">
        <v>34</v>
      </c>
      <c r="C28" s="1" t="str">
        <f t="shared" si="0"/>
        <v>File/Lot/Parameters/Param[Units]</v>
      </c>
      <c r="D28" s="1" t="str">
        <f>IF(VLOOKUP($C28, Mapping!$C$2:$L$181, 2, FALSE) = 0, "", VLOOKUP($C28, Mapping!$C$2:$L$181, 2, FALSE))</f>
        <v/>
      </c>
      <c r="E28" s="1" t="str">
        <f>IF(VLOOKUP($C28, Mapping!$C$2:$L$181, 3, FALSE) = 0, "", VLOOKUP($C28, Mapping!$C$2:$L$181, 3, FALSE))</f>
        <v/>
      </c>
      <c r="F28" s="1" t="str">
        <f>IF(VLOOKUP($C28, Mapping!$C$2:$L$181, 4, FALSE) = 0, "", VLOOKUP($C28, Mapping!$C$2:$L$181, 4, FALSE))</f>
        <v/>
      </c>
      <c r="G28" s="1" t="str">
        <f>IF(VLOOKUP($C28, Mapping!$C$2:$L$181, 6, FALSE) = 0, "", VLOOKUP($C28, Mapping!$C$2:$L$181, 6, FALSE))</f>
        <v/>
      </c>
      <c r="H28" s="2" t="str">
        <f>IF(VLOOKUP($C28, Mapping!$C$2:$L$181, 7, FALSE) = 0, "", VLOOKUP($C28, Mapping!$C$2:$L$181, 7, FALSE))</f>
        <v/>
      </c>
      <c r="I28" s="2" t="str">
        <f>IF(VLOOKUP($C28, Mapping!$C$2:$L$181, 8, FALSE) = 0, "", VLOOKUP($C28, Mapping!$C$2:$L$181, 8, FALSE))</f>
        <v/>
      </c>
      <c r="J28" s="2" t="str">
        <f>IF(VLOOKUP($C28, Mapping!$C$2:$L$181, 9, FALSE) = 0, "", VLOOKUP($C28, Mapping!$C$2:$L$181, 9, FALSE))</f>
        <v/>
      </c>
      <c r="K28" s="2" t="str">
        <f>IF(VLOOKUP($C28, Mapping!$C$2:$L$181, 10, FALSE) = 0, "", VLOOKUP($C28, Mapping!$C$2:$L$181, 10, FALSE))</f>
        <v/>
      </c>
    </row>
    <row r="29" spans="1:11" customFormat="1" x14ac:dyDescent="0.25">
      <c r="A29" s="11" t="s">
        <v>425</v>
      </c>
      <c r="B29" s="31" t="s">
        <v>35</v>
      </c>
      <c r="C29" s="1" t="str">
        <f t="shared" si="0"/>
        <v>File/Lot/Wafer/ParametricData/Unit[X]</v>
      </c>
      <c r="D29" s="1" t="str">
        <f>IF(VLOOKUP($C29, Mapping!$C$2:$L$181, 2, FALSE) = 0, "", VLOOKUP($C29, Mapping!$C$2:$L$181, 2, FALSE))</f>
        <v/>
      </c>
      <c r="E29" s="1" t="str">
        <f>IF(VLOOKUP($C29, Mapping!$C$2:$L$181, 3, FALSE) = 0, "", VLOOKUP($C29, Mapping!$C$2:$L$181, 3, FALSE))</f>
        <v/>
      </c>
      <c r="F29" s="1" t="str">
        <f>IF(VLOOKUP($C29, Mapping!$C$2:$L$181, 4, FALSE) = 0, "", VLOOKUP($C29, Mapping!$C$2:$L$181, 4, FALSE))</f>
        <v>Wafer Original die x/y coordinate</v>
      </c>
      <c r="G29" s="1" t="str">
        <f>IF(VLOOKUP($C29, Mapping!$C$2:$L$181, 6, FALSE) = 0, "", VLOOKUP($C29, Mapping!$C$2:$L$181, 6, FALSE))</f>
        <v>DbDieXYIndexes</v>
      </c>
      <c r="H29" s="2" t="str">
        <f>IF(VLOOKUP($C29, Mapping!$C$2:$L$181, 7, FALSE) = 0, "", VLOOKUP($C29, Mapping!$C$2:$L$181, 7, FALSE))</f>
        <v>res index</v>
      </c>
      <c r="I29" s="2" t="str">
        <f>IF(VLOOKUP($C29, Mapping!$C$2:$L$181, 8, FALSE) = 0, "", VLOOKUP($C29, Mapping!$C$2:$L$181, 8, FALSE))</f>
        <v>key</v>
      </c>
      <c r="J29" s="2" t="str">
        <f>IF(VLOOKUP($C29, Mapping!$C$2:$L$181, 9, FALSE) = 0, "", VLOOKUP($C29, Mapping!$C$2:$L$181, 9, FALSE))</f>
        <v/>
      </c>
      <c r="K29" s="2" t="str">
        <f>IF(VLOOKUP($C29, Mapping!$C$2:$L$181, 10, FALSE) = 0, "", VLOOKUP($C29, Mapping!$C$2:$L$181, 10, FALSE))</f>
        <v/>
      </c>
    </row>
    <row r="30" spans="1:11" customFormat="1" x14ac:dyDescent="0.25">
      <c r="A30" s="11" t="s">
        <v>425</v>
      </c>
      <c r="B30" s="31" t="s">
        <v>0</v>
      </c>
      <c r="C30" s="1" t="str">
        <f t="shared" si="0"/>
        <v>File/Lot/Wafer/ParametricData/Unit[Y]</v>
      </c>
      <c r="D30" s="1" t="str">
        <f>IF(VLOOKUP($C30, Mapping!$C$2:$L$181, 2, FALSE) = 0, "", VLOOKUP($C30, Mapping!$C$2:$L$181, 2, FALSE))</f>
        <v/>
      </c>
      <c r="E30" s="1" t="str">
        <f>IF(VLOOKUP($C30, Mapping!$C$2:$L$181, 3, FALSE) = 0, "", VLOOKUP($C30, Mapping!$C$2:$L$181, 3, FALSE))</f>
        <v/>
      </c>
      <c r="F30" s="1" t="str">
        <f>IF(VLOOKUP($C30, Mapping!$C$2:$L$181, 4, FALSE) = 0, "", VLOOKUP($C30, Mapping!$C$2:$L$181, 4, FALSE))</f>
        <v>Wafer Original die x/y coordinate</v>
      </c>
      <c r="G30" s="1" t="str">
        <f>IF(VLOOKUP($C30, Mapping!$C$2:$L$181, 6, FALSE) = 0, "", VLOOKUP($C30, Mapping!$C$2:$L$181, 6, FALSE))</f>
        <v>DbDieXYIndexes</v>
      </c>
      <c r="H30" s="2" t="str">
        <f>IF(VLOOKUP($C30, Mapping!$C$2:$L$181, 7, FALSE) = 0, "", VLOOKUP($C30, Mapping!$C$2:$L$181, 7, FALSE))</f>
        <v>res index</v>
      </c>
      <c r="I30" s="2" t="str">
        <f>IF(VLOOKUP($C30, Mapping!$C$2:$L$181, 8, FALSE) = 0, "", VLOOKUP($C30, Mapping!$C$2:$L$181, 8, FALSE))</f>
        <v>key</v>
      </c>
      <c r="J30" s="2" t="str">
        <f>IF(VLOOKUP($C30, Mapping!$C$2:$L$181, 9, FALSE) = 0, "", VLOOKUP($C30, Mapping!$C$2:$L$181, 9, FALSE))</f>
        <v/>
      </c>
      <c r="K30" s="2" t="str">
        <f>IF(VLOOKUP($C30, Mapping!$C$2:$L$181, 10, FALSE) = 0, "", VLOOKUP($C30, Mapping!$C$2:$L$181, 10, FALSE))</f>
        <v/>
      </c>
    </row>
    <row r="31" spans="1:11" customFormat="1" x14ac:dyDescent="0.25">
      <c r="A31" s="11" t="s">
        <v>425</v>
      </c>
      <c r="B31" s="31" t="s">
        <v>36</v>
      </c>
      <c r="C31" s="1" t="str">
        <f t="shared" si="0"/>
        <v>File/Lot/Wafer/ParametricData/Unit[HardBin]</v>
      </c>
      <c r="D31" s="1" t="str">
        <f>IF(VLOOKUP($C31, Mapping!$C$2:$L$181, 2, FALSE) = 0, "", VLOOKUP($C31, Mapping!$C$2:$L$181, 2, FALSE))</f>
        <v/>
      </c>
      <c r="E31" s="1" t="str">
        <f>IF(VLOOKUP($C31, Mapping!$C$2:$L$181, 3, FALSE) = 0, "", VLOOKUP($C31, Mapping!$C$2:$L$181, 3, FALSE))</f>
        <v/>
      </c>
      <c r="F31" s="1" t="str">
        <f>IF(VLOOKUP($C31, Mapping!$C$2:$L$181, 4, FALSE) = 0, "", VLOOKUP($C31, Mapping!$C$2:$L$181, 4, FALSE))</f>
        <v>Hardbin number</v>
      </c>
      <c r="G31" s="1" t="str">
        <f>IF(VLOOKUP($C31, Mapping!$C$2:$L$181, 6, FALSE) = 0, "", VLOOKUP($C31, Mapping!$C$2:$L$181, 6, FALSE))</f>
        <v>HardBin (Index)</v>
      </c>
      <c r="H31" s="2" t="str">
        <f>IF(VLOOKUP($C31, Mapping!$C$2:$L$181, 7, FALSE) = 0, "", VLOOKUP($C31, Mapping!$C$2:$L$181, 7, FALSE))</f>
        <v>res index</v>
      </c>
      <c r="I31" s="2" t="str">
        <f>IF(VLOOKUP($C31, Mapping!$C$2:$L$181, 8, FALSE) = 0, "", VLOOKUP($C31, Mapping!$C$2:$L$181, 8, FALSE))</f>
        <v>non-key</v>
      </c>
      <c r="J31" s="2" t="str">
        <f>IF(VLOOKUP($C31, Mapping!$C$2:$L$181, 9, FALSE) = 0, "", VLOOKUP($C31, Mapping!$C$2:$L$181, 9, FALSE))</f>
        <v/>
      </c>
      <c r="K31" s="2" t="str">
        <f>IF(VLOOKUP($C31, Mapping!$C$2:$L$181, 10, FALSE) = 0, "", VLOOKUP($C31, Mapping!$C$2:$L$181, 10, FALSE))</f>
        <v/>
      </c>
    </row>
    <row r="32" spans="1:11" customFormat="1" x14ac:dyDescent="0.25">
      <c r="A32" s="11" t="s">
        <v>425</v>
      </c>
      <c r="B32" s="31" t="s">
        <v>37</v>
      </c>
      <c r="C32" s="1" t="str">
        <f t="shared" si="0"/>
        <v>File/Lot/Wafer/ParametricData/Unit[SoftBin]</v>
      </c>
      <c r="D32" s="20" t="str">
        <f>IF(VLOOKUP($C32, Mapping!$C$2:$L$181, 2, FALSE) = 0, "", VLOOKUP($C32, Mapping!$C$2:$L$181, 2, FALSE))</f>
        <v/>
      </c>
      <c r="E32" s="1" t="str">
        <f>IF(VLOOKUP($C32, Mapping!$C$2:$L$181, 3, FALSE) = 0, "", VLOOKUP($C32, Mapping!$C$2:$L$181, 3, FALSE))</f>
        <v/>
      </c>
      <c r="F32" s="1" t="str">
        <f>IF(VLOOKUP($C32, Mapping!$C$2:$L$181, 4, FALSE) = 0, "", VLOOKUP($C32, Mapping!$C$2:$L$181, 4, FALSE))</f>
        <v>Softbin number</v>
      </c>
      <c r="G32" s="1" t="str">
        <f>IF(VLOOKUP($C32, Mapping!$C$2:$L$181, 6, FALSE) = 0, "", VLOOKUP($C32, Mapping!$C$2:$L$181, 6, FALSE))</f>
        <v>SoftBin (Index)</v>
      </c>
      <c r="H32" s="2" t="str">
        <f>IF(VLOOKUP($C32, Mapping!$C$2:$L$181, 7, FALSE) = 0, "", VLOOKUP($C32, Mapping!$C$2:$L$181, 7, FALSE))</f>
        <v>res index</v>
      </c>
      <c r="I32" s="2" t="str">
        <f>IF(VLOOKUP($C32, Mapping!$C$2:$L$181, 8, FALSE) = 0, "", VLOOKUP($C32, Mapping!$C$2:$L$181, 8, FALSE))</f>
        <v>non-key</v>
      </c>
      <c r="J32" s="2" t="str">
        <f>IF(VLOOKUP($C32, Mapping!$C$2:$L$181, 9, FALSE) = 0, "", VLOOKUP($C32, Mapping!$C$2:$L$181, 9, FALSE))</f>
        <v/>
      </c>
      <c r="K32" s="2" t="str">
        <f>IF(VLOOKUP($C32, Mapping!$C$2:$L$181, 10, FALSE) = 0, "", VLOOKUP($C32, Mapping!$C$2:$L$181, 10, FALSE))</f>
        <v/>
      </c>
    </row>
    <row r="33" spans="1:11" customFormat="1" x14ac:dyDescent="0.25">
      <c r="A33" s="11" t="s">
        <v>425</v>
      </c>
      <c r="B33" s="31" t="s">
        <v>46</v>
      </c>
      <c r="C33" s="20" t="str">
        <f t="shared" si="0"/>
        <v>File/Lot/Wafer/ParametricData/Unit[Site]</v>
      </c>
      <c r="D33" s="20" t="str">
        <f>IF(VLOOKUP($C33, Mapping!$C$2:$L$181, 2, FALSE) = 0, "", VLOOKUP($C33, Mapping!$C$2:$L$181, 2, FALSE))</f>
        <v/>
      </c>
      <c r="E33" s="20" t="str">
        <f>IF(VLOOKUP($C33, Mapping!$C$2:$L$181, 3, FALSE) = 0, "", VLOOKUP($C33, Mapping!$C$2:$L$181, 3, FALSE))</f>
        <v/>
      </c>
      <c r="F33" s="20" t="str">
        <f>IF(VLOOKUP($C33, Mapping!$C$2:$L$181, 4, FALSE) = 0, "", VLOOKUP($C33, Mapping!$C$2:$L$181, 4, FALSE))</f>
        <v>Test Site ID</v>
      </c>
      <c r="G33" s="20" t="str">
        <f>IF(VLOOKUP($C33, Mapping!$C$2:$L$181, 6, FALSE) = 0, "", VLOOKUP($C33, Mapping!$C$2:$L$181, 6, FALSE))</f>
        <v>TestSite (Index)</v>
      </c>
      <c r="H33" s="2" t="str">
        <f>IF(VLOOKUP($C33, Mapping!$C$2:$L$181, 7, FALSE) = 0, "", VLOOKUP($C33, Mapping!$C$2:$L$181, 7, FALSE))</f>
        <v/>
      </c>
      <c r="I33" s="30" t="str">
        <f>IF(VLOOKUP($C33, Mapping!$C$2:$L$181, 8, FALSE) = 0, "", VLOOKUP($C33, Mapping!$C$2:$L$181, 8, FALSE))</f>
        <v/>
      </c>
      <c r="J33" s="30" t="str">
        <f>IF(VLOOKUP($C33, Mapping!$C$2:$L$181, 9, FALSE) = 0, "", VLOOKUP($C33, Mapping!$C$2:$L$181, 9, FALSE))</f>
        <v/>
      </c>
      <c r="K33" s="21" t="str">
        <f>IF(VLOOKUP($C33, Mapping!$C$2:$L$181, 10, FALSE) = 0, "", VLOOKUP($C33, Mapping!$C$2:$L$181, 10, FALSE))</f>
        <v/>
      </c>
    </row>
    <row r="34" spans="1:11" customFormat="1" x14ac:dyDescent="0.25">
      <c r="A34" s="11"/>
      <c r="B34" s="1" t="s">
        <v>13</v>
      </c>
      <c r="C34" s="20" t="str">
        <f t="shared" si="0"/>
        <v>[Program Group]</v>
      </c>
      <c r="D34" s="20" t="str">
        <f>IF(VLOOKUP($C34, Mapping!$C$2:$L$181, 2, FALSE) = 0, "", VLOOKUP($C34, Mapping!$C$2:$L$181, 2, FALSE))</f>
        <v>ProgramGroup</v>
      </c>
      <c r="E34" s="20" t="str">
        <f>IF(VLOOKUP($C34, Mapping!$C$2:$L$181, 3, FALSE) = 0, "", VLOOKUP($C34, Mapping!$C$2:$L$181, 3, FALSE))</f>
        <v/>
      </c>
      <c r="F34" s="20" t="str">
        <f>IF(VLOOKUP($C34, Mapping!$C$2:$L$181, 4, FALSE) = 0, "", VLOOKUP($C34, Mapping!$C$2:$L$181, 4, FALSE))</f>
        <v>Program Group</v>
      </c>
      <c r="G34" s="20" t="str">
        <f>IF(VLOOKUP($C34, Mapping!$C$2:$L$181, 6, FALSE) = 0, "", VLOOKUP($C34, Mapping!$C$2:$L$181, 6, FALSE))</f>
        <v>vDbProgGroup</v>
      </c>
      <c r="H34" s="2" t="str">
        <f>IF(VLOOKUP($C34, Mapping!$C$2:$L$181, 7, FALSE) = 0, "", VLOOKUP($C34, Mapping!$C$2:$L$181, 7, FALSE))</f>
        <v/>
      </c>
      <c r="I34" s="30" t="str">
        <f>IF(VLOOKUP($C34, Mapping!$C$2:$L$181, 8, FALSE) = 0, "", VLOOKUP($C34, Mapping!$C$2:$L$181, 8, FALSE))</f>
        <v/>
      </c>
      <c r="J34" s="30" t="str">
        <f>IF(VLOOKUP($C34, Mapping!$C$2:$L$181, 9, FALSE) = 0, "", VLOOKUP($C34, Mapping!$C$2:$L$181, 9, FALSE))</f>
        <v/>
      </c>
      <c r="K34" s="21" t="str">
        <f>IF(VLOOKUP($C34, Mapping!$C$2:$L$181, 10, FALSE) = 0, "", VLOOKUP($C34, Mapping!$C$2:$L$181, 10, FALSE))</f>
        <v>Constant: "Probe Parametric"</v>
      </c>
    </row>
    <row r="35" spans="1:11" customFormat="1" x14ac:dyDescent="0.25">
      <c r="A35" s="11"/>
      <c r="B35" s="1" t="s">
        <v>52</v>
      </c>
      <c r="C35" s="20" t="str">
        <f t="shared" si="0"/>
        <v>[Area]</v>
      </c>
      <c r="D35" s="20" t="str">
        <f>IF(VLOOKUP($C35, Mapping!$C$2:$L$181, 2, FALSE) = 0, "", VLOOKUP($C35, Mapping!$C$2:$L$181, 2, FALSE))</f>
        <v/>
      </c>
      <c r="E35" s="20" t="str">
        <f>IF(VLOOKUP($C35, Mapping!$C$2:$L$181, 3, FALSE) = 0, "", VLOOKUP($C35, Mapping!$C$2:$L$181, 3, FALSE))</f>
        <v/>
      </c>
      <c r="F35" s="20" t="str">
        <f>IF(VLOOKUP($C35, Mapping!$C$2:$L$181, 4, FALSE) = 0, "", VLOOKUP($C35, Mapping!$C$2:$L$181, 4, FALSE))</f>
        <v>Area</v>
      </c>
      <c r="G35" s="20" t="str">
        <f>IF(VLOOKUP($C35, Mapping!$C$2:$L$181, 6, FALSE) = 0, "", VLOOKUP($C35, Mapping!$C$2:$L$181, 6, FALSE))</f>
        <v>DbMetaData("Area", vArea)</v>
      </c>
      <c r="H35" s="2" t="str">
        <f>IF(VLOOKUP($C35, Mapping!$C$2:$L$181, 7, FALSE) = 0, "", VLOOKUP($C35, Mapping!$C$2:$L$181, 7, FALSE))</f>
        <v>op_log linked index 1</v>
      </c>
      <c r="I35" s="30" t="str">
        <f>IF(VLOOKUP($C35, Mapping!$C$2:$L$181, 8, FALSE) = 0, "", VLOOKUP($C35, Mapping!$C$2:$L$181, 8, FALSE))</f>
        <v/>
      </c>
      <c r="J35" s="30" t="str">
        <f>IF(VLOOKUP($C35, Mapping!$C$2:$L$181, 9, FALSE) = 0, "", VLOOKUP($C35, Mapping!$C$2:$L$181, 9, FALSE))</f>
        <v/>
      </c>
      <c r="K35" s="21" t="str">
        <f>IF(VLOOKUP($C35, Mapping!$C$2:$L$181, 10, FALSE) = 0, "", VLOOKUP($C35, Mapping!$C$2:$L$181, 10, FALSE))</f>
        <v>Constant: "Probe"</v>
      </c>
    </row>
    <row r="36" spans="1:11" customFormat="1" x14ac:dyDescent="0.25">
      <c r="A36" s="11"/>
      <c r="B36" s="1" t="s">
        <v>276</v>
      </c>
      <c r="C36" s="22" t="str">
        <f t="shared" si="0"/>
        <v>[Reticle Id]</v>
      </c>
      <c r="D36" s="20" t="str">
        <f>IF(VLOOKUP($C36, Mapping!$C$2:$L$181, 2, FALSE) = 0, "", VLOOKUP($C36, Mapping!$C$2:$L$181, 2, FALSE))</f>
        <v/>
      </c>
      <c r="E36" s="20" t="str">
        <f>IF(VLOOKUP($C36, Mapping!$C$2:$L$181, 3, FALSE) = 0, "", VLOOKUP($C36, Mapping!$C$2:$L$181, 3, FALSE))</f>
        <v/>
      </c>
      <c r="F36" s="20" t="str">
        <f>IF(VLOOKUP($C36, Mapping!$C$2:$L$181, 4, FALSE) = 0, "", VLOOKUP($C36, Mapping!$C$2:$L$181, 4, FALSE))</f>
        <v>reticle_id</v>
      </c>
      <c r="G36" s="20" t="str">
        <f>IF(VLOOKUP($C36, Mapping!$C$2:$L$181, 6, FALSE) = 0, "", VLOOKUP($C36, Mapping!$C$2:$L$181, 6, FALSE))</f>
        <v>(Index)</v>
      </c>
      <c r="H36" s="2" t="str">
        <f>IF(VLOOKUP($C36, Mapping!$C$2:$L$181, 7, FALSE) = 0, "", VLOOKUP($C36, Mapping!$C$2:$L$181, 7, FALSE))</f>
        <v>res index</v>
      </c>
      <c r="I36" s="30" t="str">
        <f>IF(VLOOKUP($C36, Mapping!$C$2:$L$181, 8, FALSE) = 0, "", VLOOKUP($C36, Mapping!$C$2:$L$181, 8, FALSE))</f>
        <v>non-key</v>
      </c>
      <c r="J36" s="30" t="str">
        <f>IF(VLOOKUP($C36, Mapping!$C$2:$L$181, 9, FALSE) = 0, "", VLOOKUP($C36, Mapping!$C$2:$L$181, 9, FALSE))</f>
        <v>String</v>
      </c>
      <c r="K36" s="21" t="str">
        <f>IF(VLOOKUP($C36, Mapping!$C$2:$L$181, 10, FALSE) = 0, "", VLOOKUP($C36, Mapping!$C$2:$L$181, 10, FALSE))</f>
        <v>Set to -1 by default if reticle coordinates are not available.</v>
      </c>
    </row>
    <row r="37" spans="1:11" customFormat="1" x14ac:dyDescent="0.25">
      <c r="A37" s="11" t="s">
        <v>422</v>
      </c>
      <c r="B37" s="3" t="s">
        <v>289</v>
      </c>
      <c r="C37" s="20" t="str">
        <f t="shared" si="0"/>
        <v>File/Lot[Tester/Tool ID]</v>
      </c>
      <c r="D37" s="20" t="str">
        <f>IF(VLOOKUP($C37, Mapping!$C$2:$L$181, 2, FALSE) = 0, "", VLOOKUP($C37, Mapping!$C$2:$L$181, 2, FALSE))</f>
        <v>MeasuringEquipment</v>
      </c>
      <c r="E37" s="20" t="str">
        <f>IF(VLOOKUP($C37, Mapping!$C$2:$L$181, 3, FALSE) = 0, "", VLOOKUP($C37, Mapping!$C$2:$L$181, 3, FALSE))</f>
        <v/>
      </c>
      <c r="F37" s="20" t="str">
        <f>IF(VLOOKUP($C37, Mapping!$C$2:$L$181, 4, FALSE) = 0, "", VLOOKUP($C37, Mapping!$C$2:$L$181, 4, FALSE))</f>
        <v>Tester/Tool ID</v>
      </c>
      <c r="G37" s="20" t="str">
        <f>IF(VLOOKUP($C37, Mapping!$C$2:$L$181, 6, FALSE) = 0, "", VLOOKUP($C37, Mapping!$C$2:$L$181, 6, FALSE))</f>
        <v>vDbEquip1</v>
      </c>
      <c r="H37" s="2" t="str">
        <f>IF(VLOOKUP($C37, Mapping!$C$2:$L$181, 7, FALSE) = 0, "", VLOOKUP($C37, Mapping!$C$2:$L$181, 7, FALSE))</f>
        <v>Equip[1]</v>
      </c>
      <c r="I37" s="30" t="str">
        <f>IF(VLOOKUP($C37, Mapping!$C$2:$L$181, 8, FALSE) = 0, "", VLOOKUP($C37, Mapping!$C$2:$L$181, 8, FALSE))</f>
        <v/>
      </c>
      <c r="J37" s="30" t="str">
        <f>IF(VLOOKUP($C37, Mapping!$C$2:$L$181, 9, FALSE) = 0, "", VLOOKUP($C37, Mapping!$C$2:$L$181, 9, FALSE))</f>
        <v/>
      </c>
      <c r="K37" s="21" t="str">
        <f>IF(VLOOKUP($C37, Mapping!$C$2:$L$181, 10, FALSE) = 0, "", VLOOKUP($C37, Mapping!$C$2:$L$181, 10, FALSE))</f>
        <v/>
      </c>
    </row>
    <row r="38" spans="1:11" customFormat="1" x14ac:dyDescent="0.25">
      <c r="A38" s="10" t="s">
        <v>429</v>
      </c>
      <c r="B38" s="3" t="s">
        <v>248</v>
      </c>
      <c r="C38" s="20" t="str">
        <f t="shared" si="0"/>
        <v>File/Lot/Sites/Site[HandlerId]</v>
      </c>
      <c r="D38" s="20" t="str">
        <f>IF(VLOOKUP($C38, Mapping!$C$2:$L$181, 2, FALSE) = 0, "", VLOOKUP($C38, Mapping!$C$2:$L$181, 2, FALSE))</f>
        <v/>
      </c>
      <c r="E38" s="20" t="str">
        <f>IF(VLOOKUP($C38, Mapping!$C$2:$L$181, 3, FALSE) = 0, "", VLOOKUP($C38, Mapping!$C$2:$L$181, 3, FALSE))</f>
        <v>SDR.HAND_ID</v>
      </c>
      <c r="F38" s="20" t="str">
        <f>IF(VLOOKUP($C38, Mapping!$C$2:$L$181, 4, FALSE) = 0, "", VLOOKUP($C38, Mapping!$C$2:$L$181, 4, FALSE))</f>
        <v>Prober ID</v>
      </c>
      <c r="G38" s="20" t="str">
        <f>IF(VLOOKUP($C38, Mapping!$C$2:$L$181, 6, FALSE) = 0, "", VLOOKUP($C38, Mapping!$C$2:$L$181, 6, FALSE))</f>
        <v>vDbEquip2</v>
      </c>
      <c r="H38" s="2" t="str">
        <f>IF(VLOOKUP($C38, Mapping!$C$2:$L$181, 7, FALSE) = 0, "", VLOOKUP($C38, Mapping!$C$2:$L$181, 7, FALSE))</f>
        <v>Equip[2]</v>
      </c>
      <c r="I38" s="30" t="str">
        <f>IF(VLOOKUP($C38, Mapping!$C$2:$L$181, 8, FALSE) = 0, "", VLOOKUP($C38, Mapping!$C$2:$L$181, 8, FALSE))</f>
        <v/>
      </c>
      <c r="J38" s="30" t="str">
        <f>IF(VLOOKUP($C38, Mapping!$C$2:$L$181, 9, FALSE) = 0, "", VLOOKUP($C38, Mapping!$C$2:$L$181, 9, FALSE))</f>
        <v/>
      </c>
      <c r="K38" s="21" t="str">
        <f>IF(VLOOKUP($C38, Mapping!$C$2:$L$181, 10, FALSE) = 0, "", VLOOKUP($C38, Mapping!$C$2:$L$181, 10, FALSE))</f>
        <v/>
      </c>
    </row>
    <row r="39" spans="1:11" customFormat="1" x14ac:dyDescent="0.25">
      <c r="A39" s="11"/>
      <c r="B39" s="3" t="s">
        <v>326</v>
      </c>
      <c r="C39" s="20" t="str">
        <f t="shared" si="0"/>
        <v>[Probe ID Type]</v>
      </c>
      <c r="D39" s="20" t="str">
        <f>IF(VLOOKUP($C39, Mapping!$C$2:$L$181, 2, FALSE) = 0, "", VLOOKUP($C39, Mapping!$C$2:$L$181, 2, FALSE))</f>
        <v/>
      </c>
      <c r="E39" s="20" t="str">
        <f>IF(VLOOKUP($C39, Mapping!$C$2:$L$181, 3, FALSE) = 0, "", VLOOKUP($C39, Mapping!$C$2:$L$181, 3, FALSE))</f>
        <v>SDR.HAND_TYP</v>
      </c>
      <c r="F39" s="20" t="str">
        <f>IF(VLOOKUP($C39, Mapping!$C$2:$L$181, 4, FALSE) = 0, "", VLOOKUP($C39, Mapping!$C$2:$L$181, 4, FALSE))</f>
        <v>Prober ID Type</v>
      </c>
      <c r="G39" s="20" t="str">
        <f>IF(VLOOKUP($C39, Mapping!$C$2:$L$181, 6, FALSE) = 0, "", VLOOKUP($C39, Mapping!$C$2:$L$181, 6, FALSE))</f>
        <v/>
      </c>
      <c r="H39" s="2" t="str">
        <f>IF(VLOOKUP($C39, Mapping!$C$2:$L$181, 7, FALSE) = 0, "", VLOOKUP($C39, Mapping!$C$2:$L$181, 7, FALSE))</f>
        <v>Equip[2] Type</v>
      </c>
      <c r="I39" s="30" t="str">
        <f>IF(VLOOKUP($C39, Mapping!$C$2:$L$181, 8, FALSE) = 0, "", VLOOKUP($C39, Mapping!$C$2:$L$181, 8, FALSE))</f>
        <v/>
      </c>
      <c r="J39" s="30" t="str">
        <f>IF(VLOOKUP($C39, Mapping!$C$2:$L$181, 9, FALSE) = 0, "", VLOOKUP($C39, Mapping!$C$2:$L$181, 9, FALSE))</f>
        <v/>
      </c>
      <c r="K39" s="21" t="str">
        <f>IF(VLOOKUP($C39, Mapping!$C$2:$L$181, 10, FALSE) = 0, "", VLOOKUP($C39, Mapping!$C$2:$L$181, 10, FALSE))</f>
        <v/>
      </c>
    </row>
    <row r="40" spans="1:11" customFormat="1" x14ac:dyDescent="0.25">
      <c r="A40" s="10" t="s">
        <v>429</v>
      </c>
      <c r="B40" s="3" t="s">
        <v>250</v>
      </c>
      <c r="C40" s="20" t="str">
        <f t="shared" si="0"/>
        <v>File/Lot/Sites/Site[CardId]</v>
      </c>
      <c r="D40" s="20" t="str">
        <f>IF(VLOOKUP($C40, Mapping!$C$2:$L$181, 2, FALSE) = 0, "", VLOOKUP($C40, Mapping!$C$2:$L$181, 2, FALSE))</f>
        <v/>
      </c>
      <c r="E40" s="20" t="str">
        <f>IF(VLOOKUP($C40, Mapping!$C$2:$L$181, 3, FALSE) = 0, "", VLOOKUP($C40, Mapping!$C$2:$L$181, 3, FALSE))</f>
        <v>SDR.CARD_ID</v>
      </c>
      <c r="F40" s="20" t="str">
        <f>IF(VLOOKUP($C40, Mapping!$C$2:$L$181, 4, FALSE) = 0, "", VLOOKUP($C40, Mapping!$C$2:$L$181, 4, FALSE))</f>
        <v>Probe Card</v>
      </c>
      <c r="G40" s="20" t="str">
        <f>IF(VLOOKUP($C40, Mapping!$C$2:$L$181, 6, FALSE) = 0, "", VLOOKUP($C40, Mapping!$C$2:$L$181, 6, FALSE))</f>
        <v>vDbEquip3</v>
      </c>
      <c r="H40" s="2" t="str">
        <f>IF(VLOOKUP($C40, Mapping!$C$2:$L$181, 7, FALSE) = 0, "", VLOOKUP($C40, Mapping!$C$2:$L$181, 7, FALSE))</f>
        <v>Equip[3]</v>
      </c>
      <c r="I40" s="30" t="str">
        <f>IF(VLOOKUP($C40, Mapping!$C$2:$L$181, 8, FALSE) = 0, "", VLOOKUP($C40, Mapping!$C$2:$L$181, 8, FALSE))</f>
        <v/>
      </c>
      <c r="J40" s="30" t="str">
        <f>IF(VLOOKUP($C40, Mapping!$C$2:$L$181, 9, FALSE) = 0, "", VLOOKUP($C40, Mapping!$C$2:$L$181, 9, FALSE))</f>
        <v/>
      </c>
      <c r="K40" s="21" t="str">
        <f>IF(VLOOKUP($C40, Mapping!$C$2:$L$181, 10, FALSE) = 0, "", VLOOKUP($C40, Mapping!$C$2:$L$181, 10, FALSE))</f>
        <v/>
      </c>
    </row>
    <row r="41" spans="1:11" customFormat="1" x14ac:dyDescent="0.25">
      <c r="A41" s="11"/>
      <c r="B41" s="3" t="s">
        <v>110</v>
      </c>
      <c r="C41" s="20" t="str">
        <f t="shared" si="0"/>
        <v>[Probe Card Type]</v>
      </c>
      <c r="D41" s="20" t="str">
        <f>IF(VLOOKUP($C41, Mapping!$C$2:$L$181, 2, FALSE) = 0, "", VLOOKUP($C41, Mapping!$C$2:$L$181, 2, FALSE))</f>
        <v/>
      </c>
      <c r="E41" s="20" t="str">
        <f>IF(VLOOKUP($C41, Mapping!$C$2:$L$181, 3, FALSE) = 0, "", VLOOKUP($C41, Mapping!$C$2:$L$181, 3, FALSE))</f>
        <v>SDR.CARD_TYP</v>
      </c>
      <c r="F41" s="20" t="str">
        <f>IF(VLOOKUP($C41, Mapping!$C$2:$L$181, 4, FALSE) = 0, "", VLOOKUP($C41, Mapping!$C$2:$L$181, 4, FALSE))</f>
        <v>Probe Card Type</v>
      </c>
      <c r="G41" s="20" t="str">
        <f>IF(VLOOKUP($C41, Mapping!$C$2:$L$181, 6, FALSE) = 0, "", VLOOKUP($C41, Mapping!$C$2:$L$181, 6, FALSE))</f>
        <v/>
      </c>
      <c r="H41" s="2" t="str">
        <f>IF(VLOOKUP($C41, Mapping!$C$2:$L$181, 7, FALSE) = 0, "", VLOOKUP($C41, Mapping!$C$2:$L$181, 7, FALSE))</f>
        <v>Equip[3] Type</v>
      </c>
      <c r="I41" s="30" t="str">
        <f>IF(VLOOKUP($C41, Mapping!$C$2:$L$181, 8, FALSE) = 0, "", VLOOKUP($C41, Mapping!$C$2:$L$181, 8, FALSE))</f>
        <v/>
      </c>
      <c r="J41" s="30" t="str">
        <f>IF(VLOOKUP($C41, Mapping!$C$2:$L$181, 9, FALSE) = 0, "", VLOOKUP($C41, Mapping!$C$2:$L$181, 9, FALSE))</f>
        <v/>
      </c>
      <c r="K41" s="21" t="str">
        <f>IF(VLOOKUP($C41, Mapping!$C$2:$L$181, 10, FALSE) = 0, "", VLOOKUP($C41, Mapping!$C$2:$L$181, 10, FALSE))</f>
        <v/>
      </c>
    </row>
    <row r="42" spans="1:11" customFormat="1" x14ac:dyDescent="0.25">
      <c r="A42" s="10" t="s">
        <v>432</v>
      </c>
      <c r="B42" s="3" t="s">
        <v>433</v>
      </c>
      <c r="C42" s="20" t="str">
        <f>IF(NOT(ISBLANK(B42)),_xlfn.CONCAT(A42,"[",B42,"]"),"")</f>
        <v>DwPlm[PAL4_CD]</v>
      </c>
      <c r="D42" s="20" t="str">
        <f>IF(VLOOKUP($C42, Mapping!$C$2:$L$181, 2, FALSE) = 0, "", VLOOKUP($C42, Mapping!$C$2:$L$181, 2, FALSE))</f>
        <v>Pti4Pal</v>
      </c>
      <c r="E42" s="20" t="str">
        <f>IF(VLOOKUP($C42, Mapping!$C$2:$L$181, 3, FALSE) = 0, "", VLOOKUP($C42, Mapping!$C$2:$L$181, 3, FALSE))</f>
        <v/>
      </c>
      <c r="F42" s="20" t="str">
        <f>IF(VLOOKUP($C42, Mapping!$C$2:$L$181, 4, FALSE) = 0, "", VLOOKUP($C42, Mapping!$C$2:$L$181, 4, FALSE))</f>
        <v>PTI4/PAL</v>
      </c>
      <c r="G42" s="20" t="str">
        <f>IF(VLOOKUP($C42, Mapping!$C$2:$L$181, 6, FALSE) = 0, "", VLOOKUP($C42, Mapping!$C$2:$L$181, 6, FALSE))</f>
        <v>DbMetaData("PTI4/PAL", vPti4Pal)</v>
      </c>
      <c r="H42" s="2" t="str">
        <f>IF(VLOOKUP($C42, Mapping!$C$2:$L$181, 7, FALSE) = 0, "", VLOOKUP($C42, Mapping!$C$2:$L$181, 7, FALSE))</f>
        <v>op_log linked index 4</v>
      </c>
      <c r="I42" s="30" t="str">
        <f>IF(VLOOKUP($C42, Mapping!$C$2:$L$181, 8, FALSE) = 0, "", VLOOKUP($C42, Mapping!$C$2:$L$181, 8, FALSE))</f>
        <v/>
      </c>
      <c r="J42" s="30" t="str">
        <f>IF(VLOOKUP($C42, Mapping!$C$2:$L$181, 9, FALSE) = 0, "", VLOOKUP($C42, Mapping!$C$2:$L$181, 9, FALSE))</f>
        <v/>
      </c>
      <c r="K42" s="21" t="str">
        <f>IF(VLOOKUP($C42, Mapping!$C$2:$L$181, 10, FALSE) = 0, "", VLOOKUP($C42, Mapping!$C$2:$L$181, 10, FALSE))</f>
        <v>LotG or Agile; Eric</v>
      </c>
    </row>
    <row r="43" spans="1:11" customFormat="1" x14ac:dyDescent="0.25">
      <c r="A43" s="1" t="s">
        <v>432</v>
      </c>
      <c r="B43" s="4" t="s">
        <v>437</v>
      </c>
      <c r="C43" s="20" t="str">
        <f t="shared" ref="C43:C44" si="1">IF(NOT(ISBLANK(B43)),_xlfn.CONCAT(A43,"[",B43,"]"),"")</f>
        <v>DwPlm[WFR_FAB_MASK_CONFIG_ID]</v>
      </c>
      <c r="D43" s="20" t="str">
        <f>IF(VLOOKUP($C43, Mapping!$C$2:$L$181, 2, FALSE) = 0, "", VLOOKUP($C43, Mapping!$C$2:$L$181, 2, FALSE))</f>
        <v>MaskSet</v>
      </c>
      <c r="E43" s="20" t="str">
        <f>IF(VLOOKUP($C43, Mapping!$C$2:$L$181, 3, FALSE) = 0, "", VLOOKUP($C43, Mapping!$C$2:$L$181, 3, FALSE))</f>
        <v/>
      </c>
      <c r="F43" s="20" t="str">
        <f>IF(VLOOKUP($C43, Mapping!$C$2:$L$181, 4, FALSE) = 0, "", VLOOKUP($C43, Mapping!$C$2:$L$181, 4, FALSE))</f>
        <v>Mask / Mask Set</v>
      </c>
      <c r="G43" s="20" t="str">
        <f>IF(VLOOKUP($C43, Mapping!$C$2:$L$181, 6, FALSE) = 0, "", VLOOKUP($C43, Mapping!$C$2:$L$181, 6, FALSE))</f>
        <v>DbMetaData("Mask / Mask Set", vMaskMaskSet)</v>
      </c>
      <c r="H43" s="2" t="str">
        <f>IF(VLOOKUP($C43, Mapping!$C$2:$L$181, 7, FALSE) = 0, "", VLOOKUP($C43, Mapping!$C$2:$L$181, 7, FALSE))</f>
        <v>op_log linked index 21</v>
      </c>
      <c r="I43" s="30" t="str">
        <f>IF(VLOOKUP($C43, Mapping!$C$2:$L$181, 8, FALSE) = 0, "", VLOOKUP($C43, Mapping!$C$2:$L$181, 8, FALSE))</f>
        <v/>
      </c>
      <c r="J43" s="30" t="str">
        <f>IF(VLOOKUP($C43, Mapping!$C$2:$L$181, 9, FALSE) = 0, "", VLOOKUP($C43, Mapping!$C$2:$L$181, 9, FALSE))</f>
        <v/>
      </c>
      <c r="K43" s="21" t="str">
        <f>IF(VLOOKUP($C43, Mapping!$C$2:$L$181, 10, FALSE) = 0, "", VLOOKUP($C43, Mapping!$C$2:$L$181, 10, FALSE))</f>
        <v>LotG or Agile; Eric</v>
      </c>
    </row>
    <row r="44" spans="1:11" customFormat="1" x14ac:dyDescent="0.25">
      <c r="A44" s="1" t="s">
        <v>432</v>
      </c>
      <c r="B44" s="4" t="s">
        <v>434</v>
      </c>
      <c r="C44" s="20" t="str">
        <f t="shared" si="1"/>
        <v>DwPlm[WFR_TECH_VARIANT_ID]</v>
      </c>
      <c r="D44" s="20" t="str">
        <f>IF(VLOOKUP($C44, Mapping!$C$2:$L$181, 2, FALSE) = 0, "", VLOOKUP($C44, Mapping!$C$2:$L$181, 2, FALSE))</f>
        <v>ProcessFamily</v>
      </c>
      <c r="E44" s="20" t="str">
        <f>IF(VLOOKUP($C44, Mapping!$C$2:$L$181, 3, FALSE) = 0, "", VLOOKUP($C44, Mapping!$C$2:$L$181, 3, FALSE))</f>
        <v/>
      </c>
      <c r="F44" s="20" t="str">
        <f>IF(VLOOKUP($C44, Mapping!$C$2:$L$181, 4, FALSE) = 0, "", VLOOKUP($C44, Mapping!$C$2:$L$181, 4, FALSE))</f>
        <v>Process Family</v>
      </c>
      <c r="G44" s="20" t="str">
        <f>IF(VLOOKUP($C44, Mapping!$C$2:$L$181, 6, FALSE) = 0, "", VLOOKUP($C44, Mapping!$C$2:$L$181, 6, FALSE))</f>
        <v>DbMetaData("Process Family", vProcessFamily)</v>
      </c>
      <c r="H44" s="2" t="str">
        <f>IF(VLOOKUP($C44, Mapping!$C$2:$L$181, 7, FALSE) = 0, "", VLOOKUP($C44, Mapping!$C$2:$L$181, 7, FALSE))</f>
        <v>op_log linked index 22</v>
      </c>
      <c r="I44" s="30" t="str">
        <f>IF(VLOOKUP($C44, Mapping!$C$2:$L$181, 8, FALSE) = 0, "", VLOOKUP($C44, Mapping!$C$2:$L$181, 8, FALSE))</f>
        <v/>
      </c>
      <c r="J44" s="30" t="str">
        <f>IF(VLOOKUP($C44, Mapping!$C$2:$L$181, 9, FALSE) = 0, "", VLOOKUP($C44, Mapping!$C$2:$L$181, 9, FALSE))</f>
        <v/>
      </c>
      <c r="K44" s="21" t="str">
        <f>IF(VLOOKUP($C44, Mapping!$C$2:$L$181, 10, FALSE) = 0, "", VLOOKUP($C44, Mapping!$C$2:$L$181, 10, FALSE))</f>
        <v>LotG or Agile; Eric</v>
      </c>
    </row>
    <row r="45" spans="1:11" customFormat="1" x14ac:dyDescent="0.25">
      <c r="A45" s="11"/>
      <c r="B45" s="4" t="s">
        <v>285</v>
      </c>
      <c r="C45" s="20" t="str">
        <f>IF(NOT(ISBLANK(B45)),_xlfn.CONCAT(A45,"[",B45,"]"),"")</f>
        <v>[Test Head]</v>
      </c>
      <c r="D45" s="20" t="str">
        <f>IF(VLOOKUP($C45, Mapping!$C$2:$L$181, 2, FALSE) = 0, "", VLOOKUP($C45, Mapping!$C$2:$L$181, 2, FALSE))</f>
        <v>TestHead</v>
      </c>
      <c r="E45" s="20" t="str">
        <f>IF(VLOOKUP($C45, Mapping!$C$2:$L$181, 3, FALSE) = 0, "", VLOOKUP($C45, Mapping!$C$2:$L$181, 3, FALSE))</f>
        <v/>
      </c>
      <c r="F45" s="20" t="str">
        <f>IF(VLOOKUP($C45, Mapping!$C$2:$L$181, 4, FALSE) = 0, "", VLOOKUP($C45, Mapping!$C$2:$L$181, 4, FALSE))</f>
        <v>Test Head</v>
      </c>
      <c r="G45" s="20" t="str">
        <f>IF(VLOOKUP($C45, Mapping!$C$2:$L$181, 6, FALSE) = 0, "", VLOOKUP($C45, Mapping!$C$2:$L$181, 6, FALSE))</f>
        <v>DbMetaData("Test Head", vTest Head)</v>
      </c>
      <c r="H45" s="2" t="str">
        <f>IF(VLOOKUP($C45, Mapping!$C$2:$L$181, 7, FALSE) = 0, "", VLOOKUP($C45, Mapping!$C$2:$L$181, 7, FALSE))</f>
        <v>op_log linked index 23</v>
      </c>
      <c r="I45" s="30" t="str">
        <f>IF(VLOOKUP($C45, Mapping!$C$2:$L$181, 8, FALSE) = 0, "", VLOOKUP($C45, Mapping!$C$2:$L$181, 8, FALSE))</f>
        <v/>
      </c>
      <c r="J45" s="30" t="str">
        <f>IF(VLOOKUP($C45, Mapping!$C$2:$L$181, 9, FALSE) = 0, "", VLOOKUP($C45, Mapping!$C$2:$L$181, 9, FALSE))</f>
        <v/>
      </c>
      <c r="K45" s="21" t="str">
        <f>IF(VLOOKUP($C45, Mapping!$C$2:$L$181, 10, FALSE) = 0, "", VLOOKUP($C45, Mapping!$C$2:$L$181, 10, FALSE))</f>
        <v/>
      </c>
    </row>
    <row r="46" spans="1:11" customFormat="1" x14ac:dyDescent="0.25">
      <c r="A46" s="1" t="s">
        <v>432</v>
      </c>
      <c r="B46" s="4" t="s">
        <v>435</v>
      </c>
      <c r="C46" s="20" t="str">
        <f t="shared" ref="C46:C47" si="2">IF(NOT(ISBLANK(B46)),_xlfn.CONCAT(A46,"[",B46,"]"),"")</f>
        <v>DwPlm[WFR_FAB_MASK]</v>
      </c>
      <c r="D46" s="20" t="str">
        <f>IF(VLOOKUP($C46, Mapping!$C$2:$L$181, 2, FALSE) = 0, "", VLOOKUP($C46, Mapping!$C$2:$L$181, 2, FALSE))</f>
        <v>ProductCode</v>
      </c>
      <c r="E46" s="20" t="str">
        <f>IF(VLOOKUP($C46, Mapping!$C$2:$L$181, 3, FALSE) = 0, "", VLOOKUP($C46, Mapping!$C$2:$L$181, 3, FALSE))</f>
        <v/>
      </c>
      <c r="F46" s="20" t="str">
        <f>IF(VLOOKUP($C46, Mapping!$C$2:$L$181, 4, FALSE) = 0, "", VLOOKUP($C46, Mapping!$C$2:$L$181, 4, FALSE))</f>
        <v>Product Code</v>
      </c>
      <c r="G46" s="20" t="str">
        <f>IF(VLOOKUP($C46, Mapping!$C$2:$L$181, 6, FALSE) = 0, "", VLOOKUP($C46, Mapping!$C$2:$L$181, 6, FALSE))</f>
        <v>DbMetaData("Product Code", vProductCode)</v>
      </c>
      <c r="H46" s="2" t="str">
        <f>IF(VLOOKUP($C46, Mapping!$C$2:$L$181, 7, FALSE) = 0, "", VLOOKUP($C46, Mapping!$C$2:$L$181, 7, FALSE))</f>
        <v>op_log linked index 24</v>
      </c>
      <c r="I46" s="30" t="str">
        <f>IF(VLOOKUP($C46, Mapping!$C$2:$L$181, 8, FALSE) = 0, "", VLOOKUP($C46, Mapping!$C$2:$L$181, 8, FALSE))</f>
        <v/>
      </c>
      <c r="J46" s="30" t="str">
        <f>IF(VLOOKUP($C46, Mapping!$C$2:$L$181, 9, FALSE) = 0, "", VLOOKUP($C46, Mapping!$C$2:$L$181, 9, FALSE))</f>
        <v/>
      </c>
      <c r="K46" s="21" t="str">
        <f>IF(VLOOKUP($C46, Mapping!$C$2:$L$181, 10, FALSE) = 0, "", VLOOKUP($C46, Mapping!$C$2:$L$181, 10, FALSE))</f>
        <v>LotG or Agile; Firs 4 chars of WFR_FAB_MASK_CONFIG_ID + : + PART_ID</v>
      </c>
    </row>
    <row r="47" spans="1:11" customFormat="1" x14ac:dyDescent="0.25">
      <c r="A47" s="11"/>
      <c r="B47" s="4" t="s">
        <v>308</v>
      </c>
      <c r="C47" s="20" t="str">
        <f t="shared" si="2"/>
        <v>[Card Lens Module]</v>
      </c>
      <c r="D47" s="20" t="str">
        <f>IF(VLOOKUP($C47, Mapping!$C$2:$L$181, 2, FALSE) = 0, "", VLOOKUP($C47, Mapping!$C$2:$L$181, 2, FALSE))</f>
        <v/>
      </c>
      <c r="E47" s="20" t="str">
        <f>IF(VLOOKUP($C47, Mapping!$C$2:$L$181, 3, FALSE) = 0, "", VLOOKUP($C47, Mapping!$C$2:$L$181, 3, FALSE))</f>
        <v/>
      </c>
      <c r="F47" s="20" t="str">
        <f>IF(VLOOKUP($C47, Mapping!$C$2:$L$181, 4, FALSE) = 0, "", VLOOKUP($C47, Mapping!$C$2:$L$181, 4, FALSE))</f>
        <v>Card Lens Module</v>
      </c>
      <c r="G47" s="20" t="str">
        <f>IF(VLOOKUP($C47, Mapping!$C$2:$L$181, 6, FALSE) = 0, "", VLOOKUP($C47, Mapping!$C$2:$L$181, 6, FALSE))</f>
        <v>DbMetaData("Card Lens Module", vCardLensModule)</v>
      </c>
      <c r="H47" s="2" t="str">
        <f>IF(VLOOKUP($C47, Mapping!$C$2:$L$181, 7, FALSE) = 0, "", VLOOKUP($C47, Mapping!$C$2:$L$181, 7, FALSE))</f>
        <v>op_log linked index 25</v>
      </c>
      <c r="I47" s="30" t="str">
        <f>IF(VLOOKUP($C47, Mapping!$C$2:$L$181, 8, FALSE) = 0, "", VLOOKUP($C47, Mapping!$C$2:$L$181, 8, FALSE))</f>
        <v/>
      </c>
      <c r="J47" s="30" t="str">
        <f>IF(VLOOKUP($C47, Mapping!$C$2:$L$181, 9, FALSE) = 0, "", VLOOKUP($C47, Mapping!$C$2:$L$181, 9, FALSE))</f>
        <v/>
      </c>
      <c r="K47" s="21" t="str">
        <f>IF(VLOOKUP($C47, Mapping!$C$2:$L$181, 10, FALSE) = 0, "", VLOOKUP($C47, Mapping!$C$2:$L$181, 10, FALSE))</f>
        <v>NULL, ISG specific</v>
      </c>
    </row>
    <row r="48" spans="1:11" customFormat="1" x14ac:dyDescent="0.25">
      <c r="A48" s="11"/>
      <c r="B48" s="4" t="s">
        <v>309</v>
      </c>
      <c r="C48" s="20" t="str">
        <f>IF(NOT(ISBLANK(B48)),_xlfn.CONCAT(A48,"[",B48,"]"),"")</f>
        <v>[Subcon Product]</v>
      </c>
      <c r="D48" s="20" t="str">
        <f>IF(VLOOKUP($C48, Mapping!$C$2:$L$181, 2, FALSE) = 0, "", VLOOKUP($C48, Mapping!$C$2:$L$181, 2, FALSE))</f>
        <v>SubconProduct</v>
      </c>
      <c r="E48" s="20" t="str">
        <f>IF(VLOOKUP($C48, Mapping!$C$2:$L$181, 3, FALSE) = 0, "", VLOOKUP($C48, Mapping!$C$2:$L$181, 3, FALSE))</f>
        <v/>
      </c>
      <c r="F48" s="20" t="str">
        <f>IF(VLOOKUP($C48, Mapping!$C$2:$L$181, 4, FALSE) = 0, "", VLOOKUP($C48, Mapping!$C$2:$L$181, 4, FALSE))</f>
        <v>Subcon Product</v>
      </c>
      <c r="G48" s="20" t="str">
        <f>IF(VLOOKUP($C48, Mapping!$C$2:$L$181, 6, FALSE) = 0, "", VLOOKUP($C48, Mapping!$C$2:$L$181, 6, FALSE))</f>
        <v>DbMetaData("Subcon Product", vSubconProduct)</v>
      </c>
      <c r="H48" s="2" t="str">
        <f>IF(VLOOKUP($C48, Mapping!$C$2:$L$181, 7, FALSE) = 0, "", VLOOKUP($C48, Mapping!$C$2:$L$181, 7, FALSE))</f>
        <v>op_log linked index 27</v>
      </c>
      <c r="I48" s="30" t="str">
        <f>IF(VLOOKUP($C48, Mapping!$C$2:$L$181, 8, FALSE) = 0, "", VLOOKUP($C48, Mapping!$C$2:$L$181, 8, FALSE))</f>
        <v/>
      </c>
      <c r="J48" s="30" t="str">
        <f>IF(VLOOKUP($C48, Mapping!$C$2:$L$181, 9, FALSE) = 0, "", VLOOKUP($C48, Mapping!$C$2:$L$181, 9, FALSE))</f>
        <v/>
      </c>
      <c r="K48" s="21" t="str">
        <f>IF(VLOOKUP($C48, Mapping!$C$2:$L$181, 10, FALSE) = 0, "", VLOOKUP($C48, Mapping!$C$2:$L$181, 10, FALSE))</f>
        <v/>
      </c>
    </row>
    <row r="49" spans="1:11" customFormat="1" x14ac:dyDescent="0.25">
      <c r="A49" s="11"/>
      <c r="B49" s="4" t="s">
        <v>199</v>
      </c>
      <c r="C49" s="20" t="str">
        <f t="shared" ref="C49:C50" si="3">IF(NOT(ISBLANK(B49)),_xlfn.CONCAT(A49,"[",B49,"]"),"")</f>
        <v>[Serial/Sequence Number]</v>
      </c>
      <c r="D49" s="20" t="str">
        <f>IF(VLOOKUP($C49, Mapping!$C$2:$L$181, 2, FALSE) = 0, "", VLOOKUP($C49, Mapping!$C$2:$L$181, 2, FALSE))</f>
        <v/>
      </c>
      <c r="E49" s="20" t="str">
        <f>IF(VLOOKUP($C49, Mapping!$C$2:$L$181, 3, FALSE) = 0, "", VLOOKUP($C49, Mapping!$C$2:$L$181, 3, FALSE))</f>
        <v>PRR</v>
      </c>
      <c r="F49" s="20" t="str">
        <f>IF(VLOOKUP($C49, Mapping!$C$2:$L$181, 4, FALSE) = 0, "", VLOOKUP($C49, Mapping!$C$2:$L$181, 4, FALSE))</f>
        <v>Serial/Sequence Number</v>
      </c>
      <c r="G49" s="20" t="str">
        <f>IF(VLOOKUP($C49, Mapping!$C$2:$L$181, 6, FALSE) = 0, "", VLOOKUP($C49, Mapping!$C$2:$L$181, 6, FALSE))</f>
        <v>die_index</v>
      </c>
      <c r="H49" s="2" t="str">
        <f>IF(VLOOKUP($C49, Mapping!$C$2:$L$181, 7, FALSE) = 0, "", VLOOKUP($C49, Mapping!$C$2:$L$181, 7, FALSE))</f>
        <v>res index</v>
      </c>
      <c r="I49" s="30" t="str">
        <f>IF(VLOOKUP($C49, Mapping!$C$2:$L$181, 8, FALSE) = 0, "", VLOOKUP($C49, Mapping!$C$2:$L$181, 8, FALSE))</f>
        <v>key</v>
      </c>
      <c r="J49" s="30" t="str">
        <f>IF(VLOOKUP($C49, Mapping!$C$2:$L$181, 9, FALSE) = 0, "", VLOOKUP($C49, Mapping!$C$2:$L$181, 9, FALSE))</f>
        <v>Integer</v>
      </c>
      <c r="K49" s="21" t="str">
        <f>IF(VLOOKUP($C49, Mapping!$C$2:$L$181, 10, FALSE) = 0, "", VLOOKUP($C49, Mapping!$C$2:$L$181, 10, FALSE))</f>
        <v/>
      </c>
    </row>
    <row r="50" spans="1:11" customFormat="1" x14ac:dyDescent="0.25">
      <c r="A50" s="11"/>
      <c r="B50" s="3" t="s">
        <v>200</v>
      </c>
      <c r="C50" s="20" t="str">
        <f t="shared" si="3"/>
        <v>[ECID]</v>
      </c>
      <c r="D50" s="20" t="str">
        <f>IF(VLOOKUP($C50, Mapping!$C$2:$L$181, 2, FALSE) = 0, "", VLOOKUP($C50, Mapping!$C$2:$L$181, 2, FALSE))</f>
        <v/>
      </c>
      <c r="E50" s="20" t="str">
        <f>IF(VLOOKUP($C50, Mapping!$C$2:$L$181, 3, FALSE) = 0, "", VLOOKUP($C50, Mapping!$C$2:$L$181, 3, FALSE))</f>
        <v/>
      </c>
      <c r="F50" s="20" t="str">
        <f>IF(VLOOKUP($C50, Mapping!$C$2:$L$181, 4, FALSE) = 0, "", VLOOKUP($C50, Mapping!$C$2:$L$181, 4, FALSE))</f>
        <v>ECID</v>
      </c>
      <c r="G50" s="20" t="str">
        <f>IF(VLOOKUP($C50, Mapping!$C$2:$L$181, 6, FALSE) = 0, "", VLOOKUP($C50, Mapping!$C$2:$L$181, 6, FALSE))</f>
        <v>ecid</v>
      </c>
      <c r="H50" s="2" t="str">
        <f>IF(VLOOKUP($C50, Mapping!$C$2:$L$181, 7, FALSE) = 0, "", VLOOKUP($C50, Mapping!$C$2:$L$181, 7, FALSE))</f>
        <v>res index</v>
      </c>
      <c r="I50" s="30" t="str">
        <f>IF(VLOOKUP($C50, Mapping!$C$2:$L$181, 8, FALSE) = 0, "", VLOOKUP($C50, Mapping!$C$2:$L$181, 8, FALSE))</f>
        <v>key</v>
      </c>
      <c r="J50" s="30" t="str">
        <f>IF(VLOOKUP($C50, Mapping!$C$2:$L$181, 9, FALSE) = 0, "", VLOOKUP($C50, Mapping!$C$2:$L$181, 9, FALSE))</f>
        <v>String</v>
      </c>
      <c r="K50" s="21" t="str">
        <f>IF(VLOOKUP($C50, Mapping!$C$2:$L$181, 10, FALSE) = 0, "", VLOOKUP($C50, Mapping!$C$2:$L$181, 10, FALSE))</f>
        <v>If no die ID or ECID present in data file, create a "virtual ID" uniquely identifying the die/PART.
Probe or wafer/frame/ring-level final test:  "lotId_WaferNumber:x#:y#"; "LD595A_12:x45:y-6"
Module or sub assembly level test: "lot-id:module-id" (this scenario is unlikely because the unique module ID will be passed into the IFF as a unique serial #/ECID)
Singulated final test: "lot-id:serial-number"
Call DbDieIdIndex() to establish to activate DLT</v>
      </c>
    </row>
    <row r="51" spans="1:11" customFormat="1" x14ac:dyDescent="0.25">
      <c r="A51" s="11"/>
      <c r="B51" s="4" t="s">
        <v>201</v>
      </c>
      <c r="C51" s="20" t="str">
        <f>IF(NOT(ISBLANK(B51)),_xlfn.CONCAT(A51,"[",B51,"]"),"")</f>
        <v>[Part Pass/Fail Flag (from tester)]</v>
      </c>
      <c r="D51" s="20" t="str">
        <f>IF(VLOOKUP($C51, Mapping!$C$2:$L$181, 2, FALSE) = 0, "", VLOOKUP($C51, Mapping!$C$2:$L$181, 2, FALSE))</f>
        <v/>
      </c>
      <c r="E51" s="20" t="str">
        <f>IF(VLOOKUP($C51, Mapping!$C$2:$L$181, 3, FALSE) = 0, "", VLOOKUP($C51, Mapping!$C$2:$L$181, 3, FALSE))</f>
        <v/>
      </c>
      <c r="F51" s="20" t="str">
        <f>IF(VLOOKUP($C51, Mapping!$C$2:$L$181, 4, FALSE) = 0, "", VLOOKUP($C51, Mapping!$C$2:$L$181, 4, FALSE))</f>
        <v>Part Pass/Fail Flag (from tester)</v>
      </c>
      <c r="G51" s="20" t="str">
        <f>IF(VLOOKUP($C51, Mapping!$C$2:$L$181, 6, FALSE) = 0, "", VLOOKUP($C51, Mapping!$C$2:$L$181, 6, FALSE))</f>
        <v>pass_or_fail</v>
      </c>
      <c r="H51" s="2" t="str">
        <f>IF(VLOOKUP($C51, Mapping!$C$2:$L$181, 7, FALSE) = 0, "", VLOOKUP($C51, Mapping!$C$2:$L$181, 7, FALSE))</f>
        <v>res index</v>
      </c>
      <c r="I51" s="30" t="str">
        <f>IF(VLOOKUP($C51, Mapping!$C$2:$L$181, 8, FALSE) = 0, "", VLOOKUP($C51, Mapping!$C$2:$L$181, 8, FALSE))</f>
        <v>non-key</v>
      </c>
      <c r="J51" s="30" t="str">
        <f>IF(VLOOKUP($C51, Mapping!$C$2:$L$181, 9, FALSE) = 0, "", VLOOKUP($C51, Mapping!$C$2:$L$181, 9, FALSE))</f>
        <v>String</v>
      </c>
      <c r="K51" s="21" t="str">
        <f>IF(VLOOKUP($C51, Mapping!$C$2:$L$181, 10, FALSE) = 0, "", VLOOKUP($C51, Mapping!$C$2:$L$181, 10, FALSE))</f>
        <v>Bin Pass/Fail Flag</v>
      </c>
    </row>
    <row r="52" spans="1:11" customFormat="1" x14ac:dyDescent="0.25">
      <c r="A52" s="11"/>
      <c r="B52" s="4" t="s">
        <v>204</v>
      </c>
      <c r="C52" s="20" t="str">
        <f t="shared" ref="C52:C60" si="4">IF(NOT(ISBLANK(B52)),_xlfn.CONCAT(A52,"[",B52,"]"),"")</f>
        <v>[Test Execution Time]</v>
      </c>
      <c r="D52" s="20" t="str">
        <f>IF(VLOOKUP($C52, Mapping!$C$2:$L$181, 2, FALSE) = 0, "", VLOOKUP($C52, Mapping!$C$2:$L$181, 2, FALSE))</f>
        <v/>
      </c>
      <c r="E52" s="20" t="str">
        <f>IF(VLOOKUP($C52, Mapping!$C$2:$L$181, 3, FALSE) = 0, "", VLOOKUP($C52, Mapping!$C$2:$L$181, 3, FALSE))</f>
        <v>PRR.TEST_T</v>
      </c>
      <c r="F52" s="20" t="str">
        <f>IF(VLOOKUP($C52, Mapping!$C$2:$L$181, 4, FALSE) = 0, "", VLOOKUP($C52, Mapping!$C$2:$L$181, 4, FALSE))</f>
        <v>Test Execution Time</v>
      </c>
      <c r="G52" s="20" t="str">
        <f>IF(VLOOKUP($C52, Mapping!$C$2:$L$181, 6, FALSE) = 0, "", VLOOKUP($C52, Mapping!$C$2:$L$181, 6, FALSE))</f>
        <v/>
      </c>
      <c r="H52" s="2" t="str">
        <f>IF(VLOOKUP($C52, Mapping!$C$2:$L$181, 7, FALSE) = 0, "", VLOOKUP($C52, Mapping!$C$2:$L$181, 7, FALSE))</f>
        <v>parameter</v>
      </c>
      <c r="I52" s="30" t="str">
        <f>IF(VLOOKUP($C52, Mapping!$C$2:$L$181, 8, FALSE) = 0, "", VLOOKUP($C52, Mapping!$C$2:$L$181, 8, FALSE))</f>
        <v/>
      </c>
      <c r="J52" s="30" t="str">
        <f>IF(VLOOKUP($C52, Mapping!$C$2:$L$181, 9, FALSE) = 0, "", VLOOKUP($C52, Mapping!$C$2:$L$181, 9, FALSE))</f>
        <v/>
      </c>
      <c r="K52" s="21" t="str">
        <f>IF(VLOOKUP($C52, Mapping!$C$2:$L$181, 10, FALSE) = 0, "", VLOOKUP($C52, Mapping!$C$2:$L$181, 10, FALSE))</f>
        <v>Set To -1</v>
      </c>
    </row>
    <row r="53" spans="1:11" customFormat="1" x14ac:dyDescent="0.25">
      <c r="A53" s="11"/>
      <c r="B53" s="4" t="s">
        <v>206</v>
      </c>
      <c r="C53" s="20" t="str">
        <f t="shared" si="4"/>
        <v>[BinDesc]</v>
      </c>
      <c r="D53" s="20" t="str">
        <f>IF(VLOOKUP($C53, Mapping!$C$2:$L$181, 2, FALSE) = 0, "", VLOOKUP($C53, Mapping!$C$2:$L$181, 2, FALSE))</f>
        <v/>
      </c>
      <c r="E53" s="20" t="str">
        <f>IF(VLOOKUP($C53, Mapping!$C$2:$L$181, 3, FALSE) = 0, "", VLOOKUP($C53, Mapping!$C$2:$L$181, 3, FALSE))</f>
        <v>SBR.BIN_NAME</v>
      </c>
      <c r="F53" s="20" t="str">
        <f>IF(VLOOKUP($C53, Mapping!$C$2:$L$181, 4, FALSE) = 0, "", VLOOKUP($C53, Mapping!$C$2:$L$181, 4, FALSE))</f>
        <v>BinDesc</v>
      </c>
      <c r="G53" s="20" t="str">
        <f>IF(VLOOKUP($C53, Mapping!$C$2:$L$181, 6, FALSE) = 0, "", VLOOKUP($C53, Mapping!$C$2:$L$181, 6, FALSE))</f>
        <v>bindesc</v>
      </c>
      <c r="H53" s="2" t="str">
        <f>IF(VLOOKUP($C53, Mapping!$C$2:$L$181, 7, FALSE) = 0, "", VLOOKUP($C53, Mapping!$C$2:$L$181, 7, FALSE))</f>
        <v>res index</v>
      </c>
      <c r="I53" s="30" t="str">
        <f>IF(VLOOKUP($C53, Mapping!$C$2:$L$181, 8, FALSE) = 0, "", VLOOKUP($C53, Mapping!$C$2:$L$181, 8, FALSE))</f>
        <v>non-key</v>
      </c>
      <c r="J53" s="30" t="str">
        <f>IF(VLOOKUP($C53, Mapping!$C$2:$L$181, 9, FALSE) = 0, "", VLOOKUP($C53, Mapping!$C$2:$L$181, 9, FALSE))</f>
        <v>String</v>
      </c>
      <c r="K53" s="21" t="str">
        <f>IF(VLOOKUP($C53, Mapping!$C$2:$L$181, 10, FALSE) = 0, "", VLOOKUP($C53, Mapping!$C$2:$L$181, 10, FALSE))</f>
        <v/>
      </c>
    </row>
    <row r="54" spans="1:11" customFormat="1" x14ac:dyDescent="0.25">
      <c r="A54" s="11"/>
      <c r="B54" s="1" t="s">
        <v>315</v>
      </c>
      <c r="C54" s="20" t="str">
        <f t="shared" si="4"/>
        <v>[orig_x]</v>
      </c>
      <c r="D54" s="20" t="str">
        <f>IF(VLOOKUP($C54, Mapping!$C$2:$L$181, 2, FALSE) = 0, "", VLOOKUP($C54, Mapping!$C$2:$L$181, 2, FALSE))</f>
        <v/>
      </c>
      <c r="E54" s="20" t="str">
        <f>IF(VLOOKUP($C54, Mapping!$C$2:$L$181, 3, FALSE) = 0, "", VLOOKUP($C54, Mapping!$C$2:$L$181, 3, FALSE))</f>
        <v/>
      </c>
      <c r="F54" s="20" t="str">
        <f>IF(VLOOKUP($C54, Mapping!$C$2:$L$181, 4, FALSE) = 0, "", VLOOKUP($C54, Mapping!$C$2:$L$181, 4, FALSE))</f>
        <v>orig_x</v>
      </c>
      <c r="G54" s="20" t="str">
        <f>IF(VLOOKUP($C54, Mapping!$C$2:$L$181, 6, FALSE) = 0, "", VLOOKUP($C54, Mapping!$C$2:$L$181, 6, FALSE))</f>
        <v>orig_x</v>
      </c>
      <c r="H54" s="2" t="str">
        <f>IF(VLOOKUP($C54, Mapping!$C$2:$L$181, 7, FALSE) = 0, "", VLOOKUP($C54, Mapping!$C$2:$L$181, 7, FALSE))</f>
        <v>res index</v>
      </c>
      <c r="I54" s="30" t="str">
        <f>IF(VLOOKUP($C54, Mapping!$C$2:$L$181, 8, FALSE) = 0, "", VLOOKUP($C54, Mapping!$C$2:$L$181, 8, FALSE))</f>
        <v>non-key</v>
      </c>
      <c r="J54" s="30" t="str">
        <f>IF(VLOOKUP($C54, Mapping!$C$2:$L$181, 9, FALSE) = 0, "", VLOOKUP($C54, Mapping!$C$2:$L$181, 9, FALSE))</f>
        <v>Integer</v>
      </c>
      <c r="K54" s="21" t="str">
        <f>IF(VLOOKUP($C54, Mapping!$C$2:$L$181, 10, FALSE) = 0, "", VLOOKUP($C54, Mapping!$C$2:$L$181, 10, FALSE))</f>
        <v>Same as die_x, die_y, do NOT call DbDieXYIndexes for these.  Used to retain original X,Y after normalization.</v>
      </c>
    </row>
    <row r="55" spans="1:11" customFormat="1" x14ac:dyDescent="0.25">
      <c r="A55" s="11"/>
      <c r="B55" s="1" t="s">
        <v>316</v>
      </c>
      <c r="C55" s="20" t="str">
        <f t="shared" si="4"/>
        <v>[orig_y]</v>
      </c>
      <c r="D55" s="20" t="str">
        <f>IF(VLOOKUP($C55, Mapping!$C$2:$L$181, 2, FALSE) = 0, "", VLOOKUP($C55, Mapping!$C$2:$L$181, 2, FALSE))</f>
        <v/>
      </c>
      <c r="E55" s="20" t="str">
        <f>IF(VLOOKUP($C55, Mapping!$C$2:$L$181, 3, FALSE) = 0, "", VLOOKUP($C55, Mapping!$C$2:$L$181, 3, FALSE))</f>
        <v/>
      </c>
      <c r="F55" s="20" t="str">
        <f>IF(VLOOKUP($C55, Mapping!$C$2:$L$181, 4, FALSE) = 0, "", VLOOKUP($C55, Mapping!$C$2:$L$181, 4, FALSE))</f>
        <v>orig_y</v>
      </c>
      <c r="G55" s="20" t="str">
        <f>IF(VLOOKUP($C55, Mapping!$C$2:$L$181, 6, FALSE) = 0, "", VLOOKUP($C55, Mapping!$C$2:$L$181, 6, FALSE))</f>
        <v>orig_y</v>
      </c>
      <c r="H55" s="2" t="str">
        <f>IF(VLOOKUP($C55, Mapping!$C$2:$L$181, 7, FALSE) = 0, "", VLOOKUP($C55, Mapping!$C$2:$L$181, 7, FALSE))</f>
        <v>res index</v>
      </c>
      <c r="I55" s="30" t="str">
        <f>IF(VLOOKUP($C55, Mapping!$C$2:$L$181, 8, FALSE) = 0, "", VLOOKUP($C55, Mapping!$C$2:$L$181, 8, FALSE))</f>
        <v>non-key</v>
      </c>
      <c r="J55" s="30" t="str">
        <f>IF(VLOOKUP($C55, Mapping!$C$2:$L$181, 9, FALSE) = 0, "", VLOOKUP($C55, Mapping!$C$2:$L$181, 9, FALSE))</f>
        <v>Integer</v>
      </c>
      <c r="K55" s="21" t="str">
        <f>IF(VLOOKUP($C55, Mapping!$C$2:$L$181, 10, FALSE) = 0, "", VLOOKUP($C55, Mapping!$C$2:$L$181, 10, FALSE))</f>
        <v>Same as die_x, die_y, do NOT call DbDieXYIndexes for these.  Used to retain original X,Y after normalization.</v>
      </c>
    </row>
    <row r="56" spans="1:11" customFormat="1" x14ac:dyDescent="0.25">
      <c r="A56" s="11"/>
      <c r="B56" s="1" t="s">
        <v>317</v>
      </c>
      <c r="C56" s="20" t="str">
        <f t="shared" si="4"/>
        <v>[reticle_x]</v>
      </c>
      <c r="D56" s="20" t="str">
        <f>IF(VLOOKUP($C56, Mapping!$C$2:$L$181, 2, FALSE) = 0, "", VLOOKUP($C56, Mapping!$C$2:$L$181, 2, FALSE))</f>
        <v/>
      </c>
      <c r="E56" s="20" t="str">
        <f>IF(VLOOKUP($C56, Mapping!$C$2:$L$181, 3, FALSE) = 0, "", VLOOKUP($C56, Mapping!$C$2:$L$181, 3, FALSE))</f>
        <v/>
      </c>
      <c r="F56" s="20" t="str">
        <f>IF(VLOOKUP($C56, Mapping!$C$2:$L$181, 4, FALSE) = 0, "", VLOOKUP($C56, Mapping!$C$2:$L$181, 4, FALSE))</f>
        <v>reticle_x</v>
      </c>
      <c r="G56" s="20" t="str">
        <f>IF(VLOOKUP($C56, Mapping!$C$2:$L$181, 6, FALSE) = 0, "", VLOOKUP($C56, Mapping!$C$2:$L$181, 6, FALSE))</f>
        <v>reticle_x</v>
      </c>
      <c r="H56" s="2" t="str">
        <f>IF(VLOOKUP($C56, Mapping!$C$2:$L$181, 7, FALSE) = 0, "", VLOOKUP($C56, Mapping!$C$2:$L$181, 7, FALSE))</f>
        <v>res index</v>
      </c>
      <c r="I56" s="30" t="str">
        <f>IF(VLOOKUP($C56, Mapping!$C$2:$L$181, 8, FALSE) = 0, "", VLOOKUP($C56, Mapping!$C$2:$L$181, 8, FALSE))</f>
        <v>non-key</v>
      </c>
      <c r="J56" s="30" t="str">
        <f>IF(VLOOKUP($C56, Mapping!$C$2:$L$181, 9, FALSE) = 0, "", VLOOKUP($C56, Mapping!$C$2:$L$181, 9, FALSE))</f>
        <v>Integer</v>
      </c>
      <c r="K56" s="21" t="str">
        <f>IF(VLOOKUP($C56, Mapping!$C$2:$L$181, 10, FALSE) = 0, "", VLOOKUP($C56, Mapping!$C$2:$L$181, 10, FALSE))</f>
        <v>Set to -1 by default if intra-reticle coordinates not available.</v>
      </c>
    </row>
    <row r="57" spans="1:11" customFormat="1" x14ac:dyDescent="0.25">
      <c r="A57" s="11"/>
      <c r="B57" s="4" t="s">
        <v>318</v>
      </c>
      <c r="C57" s="20" t="str">
        <f t="shared" si="4"/>
        <v>[recitcle_y]</v>
      </c>
      <c r="D57" s="20" t="str">
        <f>IF(VLOOKUP($C57, Mapping!$C$2:$L$181, 2, FALSE) = 0, "", VLOOKUP($C57, Mapping!$C$2:$L$181, 2, FALSE))</f>
        <v/>
      </c>
      <c r="E57" s="20" t="str">
        <f>IF(VLOOKUP($C57, Mapping!$C$2:$L$181, 3, FALSE) = 0, "", VLOOKUP($C57, Mapping!$C$2:$L$181, 3, FALSE))</f>
        <v/>
      </c>
      <c r="F57" s="20" t="str">
        <f>IF(VLOOKUP($C57, Mapping!$C$2:$L$181, 4, FALSE) = 0, "", VLOOKUP($C57, Mapping!$C$2:$L$181, 4, FALSE))</f>
        <v>recitcle_y</v>
      </c>
      <c r="G57" s="20" t="str">
        <f>IF(VLOOKUP($C57, Mapping!$C$2:$L$181, 6, FALSE) = 0, "", VLOOKUP($C57, Mapping!$C$2:$L$181, 6, FALSE))</f>
        <v>recitcle_y</v>
      </c>
      <c r="H57" s="2" t="str">
        <f>IF(VLOOKUP($C57, Mapping!$C$2:$L$181, 7, FALSE) = 0, "", VLOOKUP($C57, Mapping!$C$2:$L$181, 7, FALSE))</f>
        <v>res index</v>
      </c>
      <c r="I57" s="30" t="str">
        <f>IF(VLOOKUP($C57, Mapping!$C$2:$L$181, 8, FALSE) = 0, "", VLOOKUP($C57, Mapping!$C$2:$L$181, 8, FALSE))</f>
        <v>non-key</v>
      </c>
      <c r="J57" s="30" t="str">
        <f>IF(VLOOKUP($C57, Mapping!$C$2:$L$181, 9, FALSE) = 0, "", VLOOKUP($C57, Mapping!$C$2:$L$181, 9, FALSE))</f>
        <v>Integer</v>
      </c>
      <c r="K57" s="21" t="str">
        <f>IF(VLOOKUP($C57, Mapping!$C$2:$L$181, 10, FALSE) = 0, "", VLOOKUP($C57, Mapping!$C$2:$L$181, 10, FALSE))</f>
        <v>Set to -1 by default if intra-reticle coordinates not available.</v>
      </c>
    </row>
    <row r="58" spans="1:11" customFormat="1" x14ac:dyDescent="0.25">
      <c r="A58" s="11"/>
      <c r="B58" s="4" t="s">
        <v>331</v>
      </c>
      <c r="C58" s="20" t="str">
        <f t="shared" si="4"/>
        <v>[Test site ID]</v>
      </c>
      <c r="D58" s="20" t="str">
        <f>IF(VLOOKUP($C58, Mapping!$C$2:$L$181, 2, FALSE) = 0, "", VLOOKUP($C58, Mapping!$C$2:$L$181, 2, FALSE))</f>
        <v/>
      </c>
      <c r="E58" s="20" t="str">
        <f>IF(VLOOKUP($C58, Mapping!$C$2:$L$181, 3, FALSE) = 0, "", VLOOKUP($C58, Mapping!$C$2:$L$181, 3, FALSE))</f>
        <v>PRR.SITE_NUM</v>
      </c>
      <c r="F58" s="20" t="str">
        <f>IF(VLOOKUP($C58, Mapping!$C$2:$L$181, 4, FALSE) = 0, "", VLOOKUP($C58, Mapping!$C$2:$L$181, 4, FALSE))</f>
        <v>Test site ID</v>
      </c>
      <c r="G58" s="20" t="str">
        <f>IF(VLOOKUP($C58, Mapping!$C$2:$L$181, 6, FALSE) = 0, "", VLOOKUP($C58, Mapping!$C$2:$L$181, 6, FALSE))</f>
        <v>test_site</v>
      </c>
      <c r="H58" s="2" t="str">
        <f>IF(VLOOKUP($C58, Mapping!$C$2:$L$181, 7, FALSE) = 0, "", VLOOKUP($C58, Mapping!$C$2:$L$181, 7, FALSE))</f>
        <v>res index</v>
      </c>
      <c r="I58" s="30" t="str">
        <f>IF(VLOOKUP($C58, Mapping!$C$2:$L$181, 8, FALSE) = 0, "", VLOOKUP($C58, Mapping!$C$2:$L$181, 8, FALSE))</f>
        <v>non-key</v>
      </c>
      <c r="J58" s="30" t="str">
        <f>IF(VLOOKUP($C58, Mapping!$C$2:$L$181, 9, FALSE) = 0, "", VLOOKUP($C58, Mapping!$C$2:$L$181, 9, FALSE))</f>
        <v>Integer</v>
      </c>
      <c r="K58" s="21" t="str">
        <f>IF(VLOOKUP($C58, Mapping!$C$2:$L$181, 10, FALSE) = 0, "", VLOOKUP($C58, Mapping!$C$2:$L$181, 10, FALSE))</f>
        <v/>
      </c>
    </row>
    <row r="59" spans="1:11" customFormat="1" x14ac:dyDescent="0.25">
      <c r="A59" s="11"/>
      <c r="B59" s="4" t="s">
        <v>333</v>
      </c>
      <c r="C59" s="20" t="str">
        <f t="shared" si="4"/>
        <v>[Touchdown number]</v>
      </c>
      <c r="D59" s="20" t="str">
        <f>IF(VLOOKUP($C59, Mapping!$C$2:$L$181, 2, FALSE) = 0, "", VLOOKUP($C59, Mapping!$C$2:$L$181, 2, FALSE))</f>
        <v/>
      </c>
      <c r="E59" s="20" t="str">
        <f>IF(VLOOKUP($C59, Mapping!$C$2:$L$181, 3, FALSE) = 0, "", VLOOKUP($C59, Mapping!$C$2:$L$181, 3, FALSE))</f>
        <v/>
      </c>
      <c r="F59" s="20" t="str">
        <f>IF(VLOOKUP($C59, Mapping!$C$2:$L$181, 4, FALSE) = 0, "", VLOOKUP($C59, Mapping!$C$2:$L$181, 4, FALSE))</f>
        <v>Touchdown number</v>
      </c>
      <c r="G59" s="20" t="str">
        <f>IF(VLOOKUP($C59, Mapping!$C$2:$L$181, 6, FALSE) = 0, "", VLOOKUP($C59, Mapping!$C$2:$L$181, 6, FALSE))</f>
        <v>touchdown_num</v>
      </c>
      <c r="H59" s="2" t="str">
        <f>IF(VLOOKUP($C59, Mapping!$C$2:$L$181, 7, FALSE) = 0, "", VLOOKUP($C59, Mapping!$C$2:$L$181, 7, FALSE))</f>
        <v>res index</v>
      </c>
      <c r="I59" s="30" t="str">
        <f>IF(VLOOKUP($C59, Mapping!$C$2:$L$181, 8, FALSE) = 0, "", VLOOKUP($C59, Mapping!$C$2:$L$181, 8, FALSE))</f>
        <v>non-key</v>
      </c>
      <c r="J59" s="30" t="str">
        <f>IF(VLOOKUP($C59, Mapping!$C$2:$L$181, 9, FALSE) = 0, "", VLOOKUP($C59, Mapping!$C$2:$L$181, 9, FALSE))</f>
        <v>Integer</v>
      </c>
      <c r="K59" s="21" t="str">
        <f>IF(VLOOKUP($C59, Mapping!$C$2:$L$181, 10, FALSE) = 0, "", VLOOKUP($C59, Mapping!$C$2:$L$181, 10, FALSE))</f>
        <v>Don't have this information</v>
      </c>
    </row>
    <row r="60" spans="1:11" customFormat="1" x14ac:dyDescent="0.25">
      <c r="A60" s="11"/>
      <c r="B60" s="3" t="s">
        <v>340</v>
      </c>
      <c r="C60" s="20" t="str">
        <f t="shared" si="4"/>
        <v>[Lot Type]</v>
      </c>
      <c r="D60" s="20" t="e">
        <f>IF(VLOOKUP($C60, Mapping!$C$2:$L$181, 2, FALSE) = 0, "", VLOOKUP($C60, Mapping!$C$2:$L$181, 2, FALSE))</f>
        <v>#N/A</v>
      </c>
      <c r="E60" s="20" t="e">
        <f>IF(VLOOKUP($C60, Mapping!$C$2:$L$181, 3, FALSE) = 0, "", VLOOKUP($C60, Mapping!$C$2:$L$181, 3, FALSE))</f>
        <v>#N/A</v>
      </c>
      <c r="F60" s="20" t="e">
        <f>IF(VLOOKUP($C60, Mapping!$C$2:$L$181, 4, FALSE) = 0, "", VLOOKUP($C60, Mapping!$C$2:$L$181, 4, FALSE))</f>
        <v>#N/A</v>
      </c>
      <c r="G60" s="20" t="e">
        <f>IF(VLOOKUP($C60, Mapping!$C$2:$L$181, 6, FALSE) = 0, "", VLOOKUP($C60, Mapping!$C$2:$L$181, 6, FALSE))</f>
        <v>#N/A</v>
      </c>
      <c r="H60" s="2" t="e">
        <f>IF(VLOOKUP($C60, Mapping!$C$2:$L$181, 7, FALSE) = 0, "", VLOOKUP($C60, Mapping!$C$2:$L$181, 7, FALSE))</f>
        <v>#N/A</v>
      </c>
      <c r="I60" s="30" t="e">
        <f>IF(VLOOKUP($C60, Mapping!$C$2:$L$181, 8, FALSE) = 0, "", VLOOKUP($C60, Mapping!$C$2:$L$181, 8, FALSE))</f>
        <v>#N/A</v>
      </c>
      <c r="J60" s="30" t="e">
        <f>IF(VLOOKUP($C60, Mapping!$C$2:$L$181, 9, FALSE) = 0, "", VLOOKUP($C60, Mapping!$C$2:$L$181, 9, FALSE))</f>
        <v>#N/A</v>
      </c>
      <c r="K60" s="21" t="e">
        <f>IF(VLOOKUP($C60, Mapping!$C$2:$L$181, 10, FALSE) = 0, "", VLOOKUP($C60, Mapping!$C$2:$L$181, 10, FALSE))</f>
        <v>#N/A</v>
      </c>
    </row>
  </sheetData>
  <phoneticPr fontId="4" type="noConversion"/>
  <conditionalFormatting sqref="B14:B37 E2:F60 B45 B47:B48 B39 B41">
    <cfRule type="containsBlanks" dxfId="40" priority="4">
      <formula>LEN(TRIM(B2))=0</formula>
    </cfRule>
  </conditionalFormatting>
  <conditionalFormatting sqref="G2:H60">
    <cfRule type="expression" dxfId="39" priority="3">
      <formula>OR(ISBLANK(F2), AND(ISBLANK(G2), NOT(LEFT(TRIM(F2), 6)="op_log")))</formula>
    </cfRule>
  </conditionalFormatting>
  <conditionalFormatting sqref="J2:J60">
    <cfRule type="expression" dxfId="38" priority="5">
      <formula>OR(ISBLANK(G2), AND(ISBLANK(J2), NOT(LEFT(TRIM(G2), 6)="op_log")))</formula>
    </cfRule>
  </conditionalFormatting>
  <conditionalFormatting sqref="I2:I60">
    <cfRule type="expression" dxfId="37" priority="6">
      <formula>OR(ISBLANK(G2), AND(ISBLANK(I2), NOT(LEFT(TRIM(G2), 6)="op_log")))</formula>
    </cfRule>
  </conditionalFormatting>
  <conditionalFormatting sqref="B2:B13">
    <cfRule type="containsBlanks" dxfId="36" priority="2">
      <formula>LEN(TRIM(B2))=0</formula>
    </cfRule>
  </conditionalFormatting>
  <conditionalFormatting sqref="C60:D60 C2:C59">
    <cfRule type="duplicateValues" dxfId="35" priority="7"/>
  </conditionalFormatting>
  <conditionalFormatting sqref="D1:D59">
    <cfRule type="containsBlanks" dxfId="34" priority="1">
      <formula>LEN(TRIM(D1))=0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44"/>
  <sheetViews>
    <sheetView workbookViewId="0">
      <selection activeCell="K3" sqref="K3"/>
    </sheetView>
  </sheetViews>
  <sheetFormatPr defaultRowHeight="15" x14ac:dyDescent="0.25"/>
  <cols>
    <col min="1" max="1" width="34.7109375" bestFit="1" customWidth="1"/>
    <col min="2" max="2" width="26.85546875" bestFit="1" customWidth="1"/>
    <col min="3" max="3" width="39" bestFit="1" customWidth="1"/>
    <col min="4" max="4" width="22.5703125" bestFit="1" customWidth="1"/>
    <col min="5" max="5" width="16.28515625" bestFit="1" customWidth="1"/>
    <col min="6" max="6" width="43.85546875" customWidth="1"/>
    <col min="7" max="7" width="60.5703125" bestFit="1" customWidth="1"/>
    <col min="8" max="9" width="21.140625" bestFit="1" customWidth="1"/>
    <col min="10" max="10" width="12" bestFit="1" customWidth="1"/>
    <col min="11" max="11" width="45.7109375" bestFit="1" customWidth="1"/>
  </cols>
  <sheetData>
    <row r="1" spans="1:11" x14ac:dyDescent="0.25">
      <c r="A1" s="13" t="s">
        <v>1</v>
      </c>
      <c r="B1" s="13" t="s">
        <v>2</v>
      </c>
      <c r="C1" s="13" t="s">
        <v>266</v>
      </c>
      <c r="D1" s="1" t="s">
        <v>68</v>
      </c>
      <c r="E1" s="24" t="s">
        <v>387</v>
      </c>
      <c r="F1" s="24" t="s">
        <v>151</v>
      </c>
      <c r="G1" s="24" t="s">
        <v>3</v>
      </c>
      <c r="H1" s="14" t="s">
        <v>277</v>
      </c>
      <c r="I1" s="14" t="s">
        <v>278</v>
      </c>
      <c r="J1" s="14" t="s">
        <v>322</v>
      </c>
      <c r="K1" s="24" t="s">
        <v>150</v>
      </c>
    </row>
    <row r="2" spans="1:11" x14ac:dyDescent="0.25">
      <c r="A2" s="11" t="s">
        <v>216</v>
      </c>
      <c r="B2" s="31" t="s">
        <v>4</v>
      </c>
      <c r="C2" s="1" t="str">
        <f t="shared" ref="C2:C31" si="0">IF(NOT(ISBLANK(B2)),_xlfn.CONCAT(A2,"[",B2,"]"),"")</f>
        <v>LotG/SourceLot/Lot[Fab]</v>
      </c>
      <c r="D2" s="1" t="str">
        <f>IF(VLOOKUP($C2, Mapping!$C$2:$L$181, 2, FALSE) = 0, "", VLOOKUP($C2, Mapping!$C$2:$L$181, 2, FALSE))</f>
        <v>Fab</v>
      </c>
      <c r="E2" s="1" t="str">
        <f>IF(VLOOKUP($C2, Mapping!$C$2:$L$181, 3, FALSE) = 0, "", VLOOKUP($C2, Mapping!$C$2:$L$181, 3, FALSE))</f>
        <v/>
      </c>
      <c r="F2" s="1" t="str">
        <f>IF(VLOOKUP($C2, Mapping!$C$2:$L$181, 4, FALSE) = 0, "", VLOOKUP($C2, Mapping!$C$2:$L$181, 4, FALSE))</f>
        <v>Source Fab</v>
      </c>
      <c r="G2" s="1" t="str">
        <f>IF(VLOOKUP($C2, Mapping!$C$2:$L$181, 6, FALSE) = 0, "", VLOOKUP($C2, Mapping!$C$2:$L$181, 6, FALSE))</f>
        <v>vDbFab</v>
      </c>
      <c r="H2" s="2" t="str">
        <f>IF(VLOOKUP($C2, Mapping!$C$2:$L$181, 7, FALSE) = 0, "", VLOOKUP($C2, Mapping!$C$2:$L$181, 7, FALSE))</f>
        <v/>
      </c>
      <c r="I2" s="2" t="str">
        <f>IF(VLOOKUP($C2, Mapping!$C$2:$L$181, 8, FALSE) = 0, "", VLOOKUP($C2, Mapping!$C$2:$L$181, 8, FALSE))</f>
        <v/>
      </c>
      <c r="J2" s="2" t="str">
        <f>IF(VLOOKUP($C2, Mapping!$C$2:$L$181, 9, FALSE) = 0, "", VLOOKUP($C2, Mapping!$C$2:$L$181, 9, FALSE))</f>
        <v/>
      </c>
      <c r="K2" s="2" t="str">
        <f>IF(VLOOKUP($C2, Mapping!$C$2:$L$181, 10, FALSE) = 0, "", VLOOKUP($C2, Mapping!$C$2:$L$181, 10, FALSE))</f>
        <v/>
      </c>
    </row>
    <row r="3" spans="1:11" s="23" customFormat="1" x14ac:dyDescent="0.25">
      <c r="A3" s="11" t="s">
        <v>216</v>
      </c>
      <c r="B3" s="31" t="s">
        <v>147</v>
      </c>
      <c r="C3" s="1" t="str">
        <f t="shared" si="0"/>
        <v>LotG/SourceLot/Lot[LotClass]</v>
      </c>
      <c r="D3" s="1" t="str">
        <f>IF(VLOOKUP($C3, Mapping!$C$2:$L$181, 2, FALSE) = 0, "", VLOOKUP($C3, Mapping!$C$2:$L$181, 2, FALSE))</f>
        <v>LotClass</v>
      </c>
      <c r="E3" s="1" t="str">
        <f>IF(VLOOKUP($C3, Mapping!$C$2:$L$181, 3, FALSE) = 0, "", VLOOKUP($C3, Mapping!$C$2:$L$181, 3, FALSE))</f>
        <v/>
      </c>
      <c r="F3" s="1" t="str">
        <f>IF(VLOOKUP($C3, Mapping!$C$2:$L$181, 4, FALSE) = 0, "", VLOOKUP($C3, Mapping!$C$2:$L$181, 4, FALSE))</f>
        <v>Lot Class</v>
      </c>
      <c r="G3" s="1" t="str">
        <f>IF(VLOOKUP($C3, Mapping!$C$2:$L$181, 6, FALSE) = 0, "", VLOOKUP($C3, Mapping!$C$2:$L$181, 6, FALSE))</f>
        <v>vDbLotClass</v>
      </c>
      <c r="H3" s="2" t="str">
        <f>IF(VLOOKUP($C3, Mapping!$C$2:$L$181, 7, FALSE) = 0, "", VLOOKUP($C3, Mapping!$C$2:$L$181, 7, FALSE))</f>
        <v>lot class</v>
      </c>
      <c r="I3" s="2" t="str">
        <f>IF(VLOOKUP($C3, Mapping!$C$2:$L$181, 8, FALSE) = 0, "", VLOOKUP($C3, Mapping!$C$2:$L$181, 8, FALSE))</f>
        <v/>
      </c>
      <c r="J3" s="2" t="str">
        <f>IF(VLOOKUP($C3, Mapping!$C$2:$L$181, 9, FALSE) = 0, "", VLOOKUP($C3, Mapping!$C$2:$L$181, 9, FALSE))</f>
        <v>String</v>
      </c>
      <c r="K3" s="2" t="str">
        <f>IF(VLOOKUP($C3, Mapping!$C$2:$L$181, 10, FALSE) = 0, "", VLOOKUP($C3, Mapping!$C$2:$L$181, 10, FALSE))</f>
        <v>LotG or LTM; Type of lot Engineering/Production,…</v>
      </c>
    </row>
    <row r="4" spans="1:11" x14ac:dyDescent="0.25">
      <c r="A4" s="11" t="s">
        <v>216</v>
      </c>
      <c r="B4" s="31" t="s">
        <v>148</v>
      </c>
      <c r="C4" s="1" t="str">
        <f t="shared" si="0"/>
        <v>LotG/SourceLot/Lot[LotNumber]</v>
      </c>
      <c r="D4" s="1" t="str">
        <f>IF(VLOOKUP($C4, Mapping!$C$2:$L$181, 2, FALSE) = 0, "", VLOOKUP($C4, Mapping!$C$2:$L$181, 2, FALSE))</f>
        <v>SubconLotId</v>
      </c>
      <c r="E4" s="1" t="str">
        <f>IF(VLOOKUP($C4, Mapping!$C$2:$L$181, 3, FALSE) = 0, "", VLOOKUP($C4, Mapping!$C$2:$L$181, 3, FALSE))</f>
        <v/>
      </c>
      <c r="F4" s="1" t="str">
        <f>IF(VLOOKUP($C4, Mapping!$C$2:$L$181, 4, FALSE) = 0, "", VLOOKUP($C4, Mapping!$C$2:$L$181, 4, FALSE))</f>
        <v>Subcon lot id</v>
      </c>
      <c r="G4" s="1" t="str">
        <f>IF(VLOOKUP($C4, Mapping!$C$2:$L$181, 6, FALSE) = 0, "", VLOOKUP($C4, Mapping!$C$2:$L$181, 6, FALSE))</f>
        <v>DbMetaData("Subcon lot id", vvSubconLotId)</v>
      </c>
      <c r="H4" s="2" t="str">
        <f>IF(VLOOKUP($C4, Mapping!$C$2:$L$181, 7, FALSE) = 0, "", VLOOKUP($C4, Mapping!$C$2:$L$181, 7, FALSE))</f>
        <v>op_log linked index 26</v>
      </c>
      <c r="I4" s="2" t="str">
        <f>IF(VLOOKUP($C4, Mapping!$C$2:$L$181, 8, FALSE) = 0, "", VLOOKUP($C4, Mapping!$C$2:$L$181, 8, FALSE))</f>
        <v/>
      </c>
      <c r="J4" s="2" t="str">
        <f>IF(VLOOKUP($C4, Mapping!$C$2:$L$181, 9, FALSE) = 0, "", VLOOKUP($C4, Mapping!$C$2:$L$181, 9, FALSE))</f>
        <v/>
      </c>
      <c r="K4" s="2" t="str">
        <f>IF(VLOOKUP($C4, Mapping!$C$2:$L$181, 10, FALSE) = 0, "", VLOOKUP($C4, Mapping!$C$2:$L$181, 10, FALSE))</f>
        <v/>
      </c>
    </row>
    <row r="5" spans="1:11" x14ac:dyDescent="0.25">
      <c r="A5" s="11" t="s">
        <v>216</v>
      </c>
      <c r="B5" s="31" t="s">
        <v>154</v>
      </c>
      <c r="C5" s="1" t="str">
        <f t="shared" si="0"/>
        <v>LotG/SourceLot/Lot[WaferPart]</v>
      </c>
      <c r="D5" s="1" t="str">
        <f>IF(VLOOKUP($C5, Mapping!$C$2:$L$181, 2, FALSE) = 0, "", VLOOKUP($C5, Mapping!$C$2:$L$181, 2, FALSE))</f>
        <v>Product</v>
      </c>
      <c r="E5" s="1" t="str">
        <f>IF(VLOOKUP($C5, Mapping!$C$2:$L$181, 3, FALSE) = 0, "", VLOOKUP($C5, Mapping!$C$2:$L$181, 3, FALSE))</f>
        <v/>
      </c>
      <c r="F5" s="1" t="str">
        <f>IF(VLOOKUP($C5, Mapping!$C$2:$L$181, 4, FALSE) = 0, "", VLOOKUP($C5, Mapping!$C$2:$L$181, 4, FALSE))</f>
        <v>MES Product ID / Mfg part #</v>
      </c>
      <c r="G5" s="1" t="str">
        <f>IF(VLOOKUP($C5, Mapping!$C$2:$L$181, 6, FALSE) = 0, "", VLOOKUP($C5, Mapping!$C$2:$L$181, 6, FALSE))</f>
        <v>vDbProduct</v>
      </c>
      <c r="H5" s="2" t="str">
        <f>IF(VLOOKUP($C5, Mapping!$C$2:$L$181, 7, FALSE) = 0, "", VLOOKUP($C5, Mapping!$C$2:$L$181, 7, FALSE))</f>
        <v/>
      </c>
      <c r="I5" s="2" t="str">
        <f>IF(VLOOKUP($C5, Mapping!$C$2:$L$181, 8, FALSE) = 0, "", VLOOKUP($C5, Mapping!$C$2:$L$181, 8, FALSE))</f>
        <v/>
      </c>
      <c r="J5" s="2" t="str">
        <f>IF(VLOOKUP($C5, Mapping!$C$2:$L$181, 9, FALSE) = 0, "", VLOOKUP($C5, Mapping!$C$2:$L$181, 9, FALSE))</f>
        <v/>
      </c>
      <c r="K5" s="2" t="str">
        <f>IF(VLOOKUP($C5, Mapping!$C$2:$L$181, 10, FALSE) = 0, "", VLOOKUP($C5, Mapping!$C$2:$L$181, 10, FALSE))</f>
        <v/>
      </c>
    </row>
    <row r="6" spans="1:11" x14ac:dyDescent="0.25">
      <c r="A6" s="11" t="s">
        <v>216</v>
      </c>
      <c r="B6" s="31" t="s">
        <v>160</v>
      </c>
      <c r="C6" s="1" t="str">
        <f t="shared" si="0"/>
        <v>LotG/SourceLot/Lot[Bank]</v>
      </c>
      <c r="D6" s="1" t="str">
        <f>IF(VLOOKUP($C6, Mapping!$C$2:$L$181, 2, FALSE) = 0, "", VLOOKUP($C6, Mapping!$C$2:$L$181, 2, FALSE))</f>
        <v/>
      </c>
      <c r="E6" s="1" t="str">
        <f>IF(VLOOKUP($C6, Mapping!$C$2:$L$181, 3, FALSE) = 0, "", VLOOKUP($C6, Mapping!$C$2:$L$181, 3, FALSE))</f>
        <v/>
      </c>
      <c r="F6" s="1" t="str">
        <f>IF(VLOOKUP($C6, Mapping!$C$2:$L$181, 4, FALSE) = 0, "", VLOOKUP($C6, Mapping!$C$2:$L$181, 4, FALSE))</f>
        <v>Bank Lot</v>
      </c>
      <c r="G6" s="1" t="str">
        <f>IF(VLOOKUP($C6, Mapping!$C$2:$L$181, 6, FALSE) = 0, "", VLOOKUP($C6, Mapping!$C$2:$L$181, 6, FALSE))</f>
        <v/>
      </c>
      <c r="H6" s="2" t="str">
        <f>IF(VLOOKUP($C6, Mapping!$C$2:$L$181, 7, FALSE) = 0, "", VLOOKUP($C6, Mapping!$C$2:$L$181, 7, FALSE))</f>
        <v/>
      </c>
      <c r="I6" s="2" t="str">
        <f>IF(VLOOKUP($C6, Mapping!$C$2:$L$181, 8, FALSE) = 0, "", VLOOKUP($C6, Mapping!$C$2:$L$181, 8, FALSE))</f>
        <v/>
      </c>
      <c r="J6" s="2" t="str">
        <f>IF(VLOOKUP($C6, Mapping!$C$2:$L$181, 9, FALSE) = 0, "", VLOOKUP($C6, Mapping!$C$2:$L$181, 9, FALSE))</f>
        <v/>
      </c>
      <c r="K6" s="2" t="str">
        <f>IF(VLOOKUP($C6, Mapping!$C$2:$L$181, 10, FALSE) = 0, "", VLOOKUP($C6, Mapping!$C$2:$L$181, 10, FALSE))</f>
        <v/>
      </c>
    </row>
    <row r="7" spans="1:11" x14ac:dyDescent="0.25">
      <c r="A7" s="11" t="s">
        <v>25</v>
      </c>
      <c r="B7" s="31" t="s">
        <v>26</v>
      </c>
      <c r="C7" s="1" t="str">
        <f t="shared" si="0"/>
        <v>DataPort[TestFacility]</v>
      </c>
      <c r="D7" s="1" t="str">
        <f>IF(VLOOKUP($C7, Mapping!$C$2:$L$181, 2, FALSE) = 0, "", VLOOKUP($C7, Mapping!$C$2:$L$181, 2, FALSE))</f>
        <v>TestFacility</v>
      </c>
      <c r="E7" s="1" t="str">
        <f>IF(VLOOKUP($C7, Mapping!$C$2:$L$181, 3, FALSE) = 0, "", VLOOKUP($C7, Mapping!$C$2:$L$181, 3, FALSE))</f>
        <v/>
      </c>
      <c r="F7" s="1" t="str">
        <f>IF(VLOOKUP($C7, Mapping!$C$2:$L$181, 4, FALSE) = 0, "", VLOOKUP($C7, Mapping!$C$2:$L$181, 4, FALSE))</f>
        <v>Test Facility</v>
      </c>
      <c r="G7" s="1" t="str">
        <f>IF(VLOOKUP($C7, Mapping!$C$2:$L$181, 6, FALSE) = 0, "", VLOOKUP($C7, Mapping!$C$2:$L$181, 6, FALSE))</f>
        <v>vDbEquip6</v>
      </c>
      <c r="H7" s="2" t="str">
        <f>IF(VLOOKUP($C7, Mapping!$C$2:$L$181, 7, FALSE) = 0, "", VLOOKUP($C7, Mapping!$C$2:$L$181, 7, FALSE))</f>
        <v>Equip[6]</v>
      </c>
      <c r="I7" s="2" t="str">
        <f>IF(VLOOKUP($C7, Mapping!$C$2:$L$181, 8, FALSE) = 0, "", VLOOKUP($C7, Mapping!$C$2:$L$181, 8, FALSE))</f>
        <v/>
      </c>
      <c r="J7" s="2" t="str">
        <f>IF(VLOOKUP($C7, Mapping!$C$2:$L$181, 9, FALSE) = 0, "", VLOOKUP($C7, Mapping!$C$2:$L$181, 9, FALSE))</f>
        <v/>
      </c>
      <c r="K7" s="2" t="str">
        <f>IF(VLOOKUP($C7, Mapping!$C$2:$L$181, 10, FALSE) = 0, "", VLOOKUP($C7, Mapping!$C$2:$L$181, 10, FALSE))</f>
        <v/>
      </c>
    </row>
    <row r="8" spans="1:11" x14ac:dyDescent="0.25">
      <c r="A8" s="11" t="s">
        <v>421</v>
      </c>
      <c r="B8" s="31" t="s">
        <v>23</v>
      </c>
      <c r="C8" s="1" t="str">
        <f t="shared" si="0"/>
        <v>File[FileName]</v>
      </c>
      <c r="D8" s="1" t="str">
        <f>IF(VLOOKUP($C8, Mapping!$C$2:$L$181, 2, FALSE) = 0, "", VLOOKUP($C8, Mapping!$C$2:$L$181, 2, FALSE))</f>
        <v>DataFileName</v>
      </c>
      <c r="E8" s="1" t="str">
        <f>IF(VLOOKUP($C8, Mapping!$C$2:$L$181, 3, FALSE) = 0, "", VLOOKUP($C8, Mapping!$C$2:$L$181, 3, FALSE))</f>
        <v/>
      </c>
      <c r="F8" s="1" t="str">
        <f>IF(VLOOKUP($C8, Mapping!$C$2:$L$181, 4, FALSE) = 0, "", VLOOKUP($C8, Mapping!$C$2:$L$181, 4, FALSE))</f>
        <v>Data File Name</v>
      </c>
      <c r="G8" s="1" t="str">
        <f>IF(VLOOKUP($C8, Mapping!$C$2:$L$181, 6, FALSE) = 0, "", VLOOKUP($C8, Mapping!$C$2:$L$181, 6, FALSE))</f>
        <v>DbMetaData("Data File Name", vFileName)</v>
      </c>
      <c r="H8" s="2" t="str">
        <f>IF(VLOOKUP($C8, Mapping!$C$2:$L$181, 7, FALSE) = 0, "", VLOOKUP($C8, Mapping!$C$2:$L$181, 7, FALSE))</f>
        <v>op_log linked index 3</v>
      </c>
      <c r="I8" s="2" t="str">
        <f>IF(VLOOKUP($C8, Mapping!$C$2:$L$181, 8, FALSE) = 0, "", VLOOKUP($C8, Mapping!$C$2:$L$181, 8, FALSE))</f>
        <v/>
      </c>
      <c r="J8" s="2" t="str">
        <f>IF(VLOOKUP($C8, Mapping!$C$2:$L$181, 9, FALSE) = 0, "", VLOOKUP($C8, Mapping!$C$2:$L$181, 9, FALSE))</f>
        <v/>
      </c>
      <c r="K8" s="2" t="str">
        <f>IF(VLOOKUP($C8, Mapping!$C$2:$L$181, 10, FALSE) = 0, "", VLOOKUP($C8, Mapping!$C$2:$L$181, 10, FALSE))</f>
        <v/>
      </c>
    </row>
    <row r="9" spans="1:11" x14ac:dyDescent="0.25">
      <c r="A9" s="11" t="s">
        <v>422</v>
      </c>
      <c r="B9" s="31" t="s">
        <v>20</v>
      </c>
      <c r="C9" s="1" t="str">
        <f t="shared" si="0"/>
        <v>File/Lot[FinishTime]</v>
      </c>
      <c r="D9" s="1" t="str">
        <f>IF(VLOOKUP($C9, Mapping!$C$2:$L$181, 2, FALSE) = 0, "", VLOOKUP($C9, Mapping!$C$2:$L$181, 2, FALSE))</f>
        <v>EndTime</v>
      </c>
      <c r="E9" s="1" t="str">
        <f>IF(VLOOKUP($C9, Mapping!$C$2:$L$181, 3, FALSE) = 0, "", VLOOKUP($C9, Mapping!$C$2:$L$181, 3, FALSE))</f>
        <v>MRR.FINISH_T</v>
      </c>
      <c r="F9" s="1" t="str">
        <f>IF(VLOOKUP($C9, Mapping!$C$2:$L$181, 4, FALSE) = 0, "", VLOOKUP($C9, Mapping!$C$2:$L$181, 4, FALSE))</f>
        <v>End Time</v>
      </c>
      <c r="G9" s="1" t="str">
        <f>IF(VLOOKUP($C9, Mapping!$C$2:$L$181, 6, FALSE) = 0, "", VLOOKUP($C9, Mapping!$C$2:$L$181, 6, FALSE))</f>
        <v>vDbEndTime</v>
      </c>
      <c r="H9" s="2" t="str">
        <f>IF(VLOOKUP($C9, Mapping!$C$2:$L$181, 7, FALSE) = 0, "", VLOOKUP($C9, Mapping!$C$2:$L$181, 7, FALSE))</f>
        <v/>
      </c>
      <c r="I9" s="2" t="str">
        <f>IF(VLOOKUP($C9, Mapping!$C$2:$L$181, 8, FALSE) = 0, "", VLOOKUP($C9, Mapping!$C$2:$L$181, 8, FALSE))</f>
        <v/>
      </c>
      <c r="J9" s="2" t="str">
        <f>IF(VLOOKUP($C9, Mapping!$C$2:$L$181, 9, FALSE) = 0, "", VLOOKUP($C9, Mapping!$C$2:$L$181, 9, FALSE))</f>
        <v/>
      </c>
      <c r="K9" s="2" t="str">
        <f>IF(VLOOKUP($C9, Mapping!$C$2:$L$181, 10, FALSE) = 0, "", VLOOKUP($C9, Mapping!$C$2:$L$181, 10, FALSE))</f>
        <v/>
      </c>
    </row>
    <row r="10" spans="1:11" x14ac:dyDescent="0.25">
      <c r="A10" s="11" t="s">
        <v>422</v>
      </c>
      <c r="B10" s="31" t="s">
        <v>22</v>
      </c>
      <c r="C10" s="1" t="str">
        <f t="shared" si="0"/>
        <v>File/Lot[JobName]</v>
      </c>
      <c r="D10" s="1" t="str">
        <f>IF(VLOOKUP($C10, Mapping!$C$2:$L$181, 2, FALSE) = 0, "", VLOOKUP($C10, Mapping!$C$2:$L$181, 2, FALSE))</f>
        <v>Recipe</v>
      </c>
      <c r="E10" s="1" t="str">
        <f>IF(VLOOKUP($C10, Mapping!$C$2:$L$181, 3, FALSE) = 0, "", VLOOKUP($C10, Mapping!$C$2:$L$181, 3, FALSE))</f>
        <v>MIR.JOB_NAM</v>
      </c>
      <c r="F10" s="1" t="str">
        <f>IF(VLOOKUP($C10, Mapping!$C$2:$L$181, 4, FALSE) = 0, "", VLOOKUP($C10, Mapping!$C$2:$L$181, 4, FALSE))</f>
        <v>Test Program Name</v>
      </c>
      <c r="G10" s="1" t="str">
        <f>IF(VLOOKUP($C10, Mapping!$C$2:$L$181, 6, FALSE) = 0, "", VLOOKUP($C10, Mapping!$C$2:$L$181, 6, FALSE))</f>
        <v>vDbRecipe</v>
      </c>
      <c r="H10" s="2" t="str">
        <f>IF(VLOOKUP($C10, Mapping!$C$2:$L$181, 7, FALSE) = 0, "", VLOOKUP($C10, Mapping!$C$2:$L$181, 7, FALSE))</f>
        <v/>
      </c>
      <c r="I10" s="2" t="str">
        <f>IF(VLOOKUP($C10, Mapping!$C$2:$L$181, 8, FALSE) = 0, "", VLOOKUP($C10, Mapping!$C$2:$L$181, 8, FALSE))</f>
        <v/>
      </c>
      <c r="J10" s="2" t="str">
        <f>IF(VLOOKUP($C10, Mapping!$C$2:$L$181, 9, FALSE) = 0, "", VLOOKUP($C10, Mapping!$C$2:$L$181, 9, FALSE))</f>
        <v/>
      </c>
      <c r="K10" s="2" t="str">
        <f>IF(VLOOKUP($C10, Mapping!$C$2:$L$181, 10, FALSE) = 0, "", VLOOKUP($C10, Mapping!$C$2:$L$181, 10, FALSE))</f>
        <v/>
      </c>
    </row>
    <row r="11" spans="1:11" x14ac:dyDescent="0.25">
      <c r="A11" s="11" t="s">
        <v>422</v>
      </c>
      <c r="B11" s="31" t="s">
        <v>17</v>
      </c>
      <c r="C11" s="1" t="str">
        <f t="shared" si="0"/>
        <v>File/Lot[JobRevision]</v>
      </c>
      <c r="D11" s="1" t="str">
        <f>IF(VLOOKUP($C11, Mapping!$C$2:$L$181, 2, FALSE) = 0, "", VLOOKUP($C11, Mapping!$C$2:$L$181, 2, FALSE))</f>
        <v>RecipeRevision</v>
      </c>
      <c r="E11" s="1" t="str">
        <f>IF(VLOOKUP($C11, Mapping!$C$2:$L$181, 3, FALSE) = 0, "", VLOOKUP($C11, Mapping!$C$2:$L$181, 3, FALSE))</f>
        <v>MIR.JOB_REV</v>
      </c>
      <c r="F11" s="1" t="str">
        <f>IF(VLOOKUP($C11, Mapping!$C$2:$L$181, 4, FALSE) = 0, "", VLOOKUP($C11, Mapping!$C$2:$L$181, 4, FALSE))</f>
        <v>Test Program Revision</v>
      </c>
      <c r="G11" s="1" t="str">
        <f>IF(VLOOKUP($C11, Mapping!$C$2:$L$181, 6, FALSE) = 0, "", VLOOKUP($C11, Mapping!$C$2:$L$181, 6, FALSE))</f>
        <v>vDbEquip5, vDbProgRev</v>
      </c>
      <c r="H11" s="2" t="str">
        <f>IF(VLOOKUP($C11, Mapping!$C$2:$L$181, 7, FALSE) = 0, "", VLOOKUP($C11, Mapping!$C$2:$L$181, 7, FALSE))</f>
        <v>Equip[5]</v>
      </c>
      <c r="I11" s="2" t="str">
        <f>IF(VLOOKUP($C11, Mapping!$C$2:$L$181, 8, FALSE) = 0, "", VLOOKUP($C11, Mapping!$C$2:$L$181, 8, FALSE))</f>
        <v/>
      </c>
      <c r="J11" s="2" t="str">
        <f>IF(VLOOKUP($C11, Mapping!$C$2:$L$181, 9, FALSE) = 0, "", VLOOKUP($C11, Mapping!$C$2:$L$181, 9, FALSE))</f>
        <v/>
      </c>
      <c r="K11" s="2" t="str">
        <f>IF(VLOOKUP($C11, Mapping!$C$2:$L$181, 10, FALSE) = 0, "", VLOOKUP($C11, Mapping!$C$2:$L$181, 10, FALSE))</f>
        <v/>
      </c>
    </row>
    <row r="12" spans="1:11" x14ac:dyDescent="0.25">
      <c r="A12" s="11" t="s">
        <v>422</v>
      </c>
      <c r="B12" s="31" t="s">
        <v>18</v>
      </c>
      <c r="C12" s="1" t="str">
        <f t="shared" si="0"/>
        <v>File/Lot[LotId]</v>
      </c>
      <c r="D12" s="1" t="str">
        <f>IF(VLOOKUP($C12, Mapping!$C$2:$L$181, 2, FALSE) = 0, "", VLOOKUP($C12, Mapping!$C$2:$L$181, 2, FALSE))</f>
        <v>LotId</v>
      </c>
      <c r="E12" s="1" t="str">
        <f>IF(VLOOKUP($C12, Mapping!$C$2:$L$181, 3, FALSE) = 0, "", VLOOKUP($C12, Mapping!$C$2:$L$181, 3, FALSE))</f>
        <v>MIR.LOT_ID</v>
      </c>
      <c r="F12" s="1" t="str">
        <f>IF(VLOOKUP($C12, Mapping!$C$2:$L$181, 4, FALSE) = 0, "", VLOOKUP($C12, Mapping!$C$2:$L$181, 4, FALSE))</f>
        <v>Lot ID</v>
      </c>
      <c r="G12" s="1" t="str">
        <f>IF(VLOOKUP($C12, Mapping!$C$2:$L$181, 6, FALSE) = 0, "", VLOOKUP($C12, Mapping!$C$2:$L$181, 6, FALSE))</f>
        <v>vDbLot</v>
      </c>
      <c r="H12" s="2" t="str">
        <f>IF(VLOOKUP($C12, Mapping!$C$2:$L$181, 7, FALSE) = 0, "", VLOOKUP($C12, Mapping!$C$2:$L$181, 7, FALSE))</f>
        <v/>
      </c>
      <c r="I12" s="2" t="str">
        <f>IF(VLOOKUP($C12, Mapping!$C$2:$L$181, 8, FALSE) = 0, "", VLOOKUP($C12, Mapping!$C$2:$L$181, 8, FALSE))</f>
        <v/>
      </c>
      <c r="J12" s="2" t="str">
        <f>IF(VLOOKUP($C12, Mapping!$C$2:$L$181, 9, FALSE) = 0, "", VLOOKUP($C12, Mapping!$C$2:$L$181, 9, FALSE))</f>
        <v/>
      </c>
      <c r="K12" s="2" t="str">
        <f>IF(VLOOKUP($C12, Mapping!$C$2:$L$181, 10, FALSE) = 0, "", VLOOKUP($C12, Mapping!$C$2:$L$181, 10, FALSE))</f>
        <v/>
      </c>
    </row>
    <row r="13" spans="1:11" x14ac:dyDescent="0.25">
      <c r="A13" s="11" t="s">
        <v>422</v>
      </c>
      <c r="B13" s="31" t="s">
        <v>342</v>
      </c>
      <c r="C13" s="1" t="str">
        <f t="shared" si="0"/>
        <v>File/Lot[ModeCode]</v>
      </c>
      <c r="D13" s="1" t="str">
        <f>IF(VLOOKUP($C13, Mapping!$C$2:$L$181, 2, FALSE) = 0, "", VLOOKUP($C13, Mapping!$C$2:$L$181, 2, FALSE))</f>
        <v/>
      </c>
      <c r="E13" s="1" t="str">
        <f>IF(VLOOKUP($C13, Mapping!$C$2:$L$181, 3, FALSE) = 0, "", VLOOKUP($C13, Mapping!$C$2:$L$181, 3, FALSE))</f>
        <v>MIR.MODE_COD</v>
      </c>
      <c r="F13" s="1" t="str">
        <f>IF(VLOOKUP($C13, Mapping!$C$2:$L$181, 4, FALSE) = 0, "", VLOOKUP($C13, Mapping!$C$2:$L$181, 4, FALSE))</f>
        <v/>
      </c>
      <c r="G13" s="1" t="str">
        <f>IF(VLOOKUP($C13, Mapping!$C$2:$L$181, 6, FALSE) = 0, "", VLOOKUP($C13, Mapping!$C$2:$L$181, 6, FALSE))</f>
        <v/>
      </c>
      <c r="H13" s="2" t="str">
        <f>IF(VLOOKUP($C13, Mapping!$C$2:$L$181, 7, FALSE) = 0, "", VLOOKUP($C13, Mapping!$C$2:$L$181, 7, FALSE))</f>
        <v/>
      </c>
      <c r="I13" s="2" t="str">
        <f>IF(VLOOKUP($C13, Mapping!$C$2:$L$181, 8, FALSE) = 0, "", VLOOKUP($C13, Mapping!$C$2:$L$181, 8, FALSE))</f>
        <v/>
      </c>
      <c r="J13" s="2" t="str">
        <f>IF(VLOOKUP($C13, Mapping!$C$2:$L$181, 9, FALSE) = 0, "", VLOOKUP($C13, Mapping!$C$2:$L$181, 9, FALSE))</f>
        <v/>
      </c>
      <c r="K13" s="2" t="str">
        <f>IF(VLOOKUP($C13, Mapping!$C$2:$L$181, 10, FALSE) = 0, "", VLOOKUP($C13, Mapping!$C$2:$L$181, 10, FALSE))</f>
        <v/>
      </c>
    </row>
    <row r="14" spans="1:11" x14ac:dyDescent="0.25">
      <c r="A14" s="11" t="s">
        <v>422</v>
      </c>
      <c r="B14" s="31" t="s">
        <v>21</v>
      </c>
      <c r="C14" s="1" t="str">
        <f t="shared" si="0"/>
        <v>File/Lot[NodeName]</v>
      </c>
      <c r="D14" s="1" t="str">
        <f>IF(VLOOKUP($C14, Mapping!$C$2:$L$181, 2, FALSE) = 0, "", VLOOKUP($C14, Mapping!$C$2:$L$181, 2, FALSE))</f>
        <v>TesterHostName</v>
      </c>
      <c r="E14" s="1" t="str">
        <f>IF(VLOOKUP($C14, Mapping!$C$2:$L$181, 3, FALSE) = 0, "", VLOOKUP($C14, Mapping!$C$2:$L$181, 3, FALSE))</f>
        <v>MIR.NODE_NAM</v>
      </c>
      <c r="F14" s="1" t="str">
        <f>IF(VLOOKUP($C14, Mapping!$C$2:$L$181, 4, FALSE) = 0, "", VLOOKUP($C14, Mapping!$C$2:$L$181, 4, FALSE))</f>
        <v>Tester Host Name</v>
      </c>
      <c r="G14" s="1" t="str">
        <f>IF(VLOOKUP($C14, Mapping!$C$2:$L$181, 6, FALSE) = 0, "", VLOOKUP($C14, Mapping!$C$2:$L$181, 6, FALSE))</f>
        <v>DbMetaData("Tester Host Name", vTesterHostName)</v>
      </c>
      <c r="H14" s="2" t="str">
        <f>IF(VLOOKUP($C14, Mapping!$C$2:$L$181, 7, FALSE) = 0, "", VLOOKUP($C14, Mapping!$C$2:$L$181, 7, FALSE))</f>
        <v>op_log linked index 6</v>
      </c>
      <c r="I14" s="2" t="str">
        <f>IF(VLOOKUP($C14, Mapping!$C$2:$L$181, 8, FALSE) = 0, "", VLOOKUP($C14, Mapping!$C$2:$L$181, 8, FALSE))</f>
        <v/>
      </c>
      <c r="J14" s="2" t="str">
        <f>IF(VLOOKUP($C14, Mapping!$C$2:$L$181, 9, FALSE) = 0, "", VLOOKUP($C14, Mapping!$C$2:$L$181, 9, FALSE))</f>
        <v/>
      </c>
      <c r="K14" s="2" t="str">
        <f>IF(VLOOKUP($C14, Mapping!$C$2:$L$181, 10, FALSE) = 0, "", VLOOKUP($C14, Mapping!$C$2:$L$181, 10, FALSE))</f>
        <v/>
      </c>
    </row>
    <row r="15" spans="1:11" x14ac:dyDescent="0.25">
      <c r="A15" s="11" t="s">
        <v>422</v>
      </c>
      <c r="B15" s="31" t="s">
        <v>14</v>
      </c>
      <c r="C15" s="1" t="str">
        <f t="shared" si="0"/>
        <v>File/Lot[OperatorName]</v>
      </c>
      <c r="D15" s="1" t="str">
        <f>IF(VLOOKUP($C15, Mapping!$C$2:$L$181, 2, FALSE) = 0, "", VLOOKUP($C15, Mapping!$C$2:$L$181, 2, FALSE))</f>
        <v>Operator</v>
      </c>
      <c r="E15" s="1" t="str">
        <f>IF(VLOOKUP($C15, Mapping!$C$2:$L$181, 3, FALSE) = 0, "", VLOOKUP($C15, Mapping!$C$2:$L$181, 3, FALSE))</f>
        <v>MIR.OPER_NAM</v>
      </c>
      <c r="F15" s="1" t="str">
        <f>IF(VLOOKUP($C15, Mapping!$C$2:$L$181, 4, FALSE) = 0, "", VLOOKUP($C15, Mapping!$C$2:$L$181, 4, FALSE))</f>
        <v>Operator ID</v>
      </c>
      <c r="G15" s="1" t="str">
        <f>IF(VLOOKUP($C15, Mapping!$C$2:$L$181, 6, FALSE) = 0, "", VLOOKUP($C15, Mapping!$C$2:$L$181, 6, FALSE))</f>
        <v>vDbOperator</v>
      </c>
      <c r="H15" s="2" t="str">
        <f>IF(VLOOKUP($C15, Mapping!$C$2:$L$181, 7, FALSE) = 0, "", VLOOKUP($C15, Mapping!$C$2:$L$181, 7, FALSE))</f>
        <v/>
      </c>
      <c r="I15" s="2" t="str">
        <f>IF(VLOOKUP($C15, Mapping!$C$2:$L$181, 8, FALSE) = 0, "", VLOOKUP($C15, Mapping!$C$2:$L$181, 8, FALSE))</f>
        <v/>
      </c>
      <c r="J15" s="2" t="str">
        <f>IF(VLOOKUP($C15, Mapping!$C$2:$L$181, 9, FALSE) = 0, "", VLOOKUP($C15, Mapping!$C$2:$L$181, 9, FALSE))</f>
        <v/>
      </c>
      <c r="K15" s="2" t="str">
        <f>IF(VLOOKUP($C15, Mapping!$C$2:$L$181, 10, FALSE) = 0, "", VLOOKUP($C15, Mapping!$C$2:$L$181, 10, FALSE))</f>
        <v/>
      </c>
    </row>
    <row r="16" spans="1:11" x14ac:dyDescent="0.25">
      <c r="A16" s="11" t="s">
        <v>422</v>
      </c>
      <c r="B16" s="31" t="s">
        <v>27</v>
      </c>
      <c r="C16" s="1" t="str">
        <f t="shared" si="0"/>
        <v>File/Lot[SublotId]</v>
      </c>
      <c r="D16" s="1" t="str">
        <f>IF(VLOOKUP($C16, Mapping!$C$2:$L$181, 2, FALSE) = 0, "", VLOOKUP($C16, Mapping!$C$2:$L$181, 2, FALSE))</f>
        <v>SourceLot</v>
      </c>
      <c r="E16" s="1" t="str">
        <f>IF(VLOOKUP($C16, Mapping!$C$2:$L$181, 3, FALSE) = 0, "", VLOOKUP($C16, Mapping!$C$2:$L$181, 3, FALSE))</f>
        <v>MIR.SBLOT_ID</v>
      </c>
      <c r="F16" s="1" t="str">
        <f>IF(VLOOKUP($C16, Mapping!$C$2:$L$181, 4, FALSE) = 0, "", VLOOKUP($C16, Mapping!$C$2:$L$181, 4, FALSE))</f>
        <v>Source Lot</v>
      </c>
      <c r="G16" s="1" t="str">
        <f>IF(VLOOKUP($C16, Mapping!$C$2:$L$181, 6, FALSE) = 0, "", VLOOKUP($C16, Mapping!$C$2:$L$181, 6, FALSE))</f>
        <v>vDbSrcLot</v>
      </c>
      <c r="H16" s="2" t="str">
        <f>IF(VLOOKUP($C16, Mapping!$C$2:$L$181, 7, FALSE) = 0, "", VLOOKUP($C16, Mapping!$C$2:$L$181, 7, FALSE))</f>
        <v/>
      </c>
      <c r="I16" s="2" t="str">
        <f>IF(VLOOKUP($C16, Mapping!$C$2:$L$181, 8, FALSE) = 0, "", VLOOKUP($C16, Mapping!$C$2:$L$181, 8, FALSE))</f>
        <v/>
      </c>
      <c r="J16" s="2" t="str">
        <f>IF(VLOOKUP($C16, Mapping!$C$2:$L$181, 9, FALSE) = 0, "", VLOOKUP($C16, Mapping!$C$2:$L$181, 9, FALSE))</f>
        <v/>
      </c>
      <c r="K16" s="2" t="str">
        <f>IF(VLOOKUP($C16, Mapping!$C$2:$L$181, 10, FALSE) = 0, "", VLOOKUP($C16, Mapping!$C$2:$L$181, 10, FALSE))</f>
        <v>If not ends ".S", ".S" is being added behind the "."</v>
      </c>
    </row>
    <row r="17" spans="1:11" x14ac:dyDescent="0.25">
      <c r="A17" s="11" t="s">
        <v>422</v>
      </c>
      <c r="B17" s="31" t="s">
        <v>19</v>
      </c>
      <c r="C17" s="1" t="str">
        <f t="shared" si="0"/>
        <v>File/Lot[StartTime]</v>
      </c>
      <c r="D17" s="1" t="str">
        <f>IF(VLOOKUP($C17, Mapping!$C$2:$L$181, 2, FALSE) = 0, "", VLOOKUP($C17, Mapping!$C$2:$L$181, 2, FALSE))</f>
        <v>StartTime</v>
      </c>
      <c r="E17" s="1" t="str">
        <f>IF(VLOOKUP($C17, Mapping!$C$2:$L$181, 3, FALSE) = 0, "", VLOOKUP($C17, Mapping!$C$2:$L$181, 3, FALSE))</f>
        <v>MIR.START_T</v>
      </c>
      <c r="F17" s="1" t="str">
        <f>IF(VLOOKUP($C17, Mapping!$C$2:$L$181, 4, FALSE) = 0, "", VLOOKUP($C17, Mapping!$C$2:$L$181, 4, FALSE))</f>
        <v>Start Time</v>
      </c>
      <c r="G17" s="1" t="str">
        <f>IF(VLOOKUP($C17, Mapping!$C$2:$L$181, 6, FALSE) = 0, "", VLOOKUP($C17, Mapping!$C$2:$L$181, 6, FALSE))</f>
        <v>vDbStartTime</v>
      </c>
      <c r="H17" s="2" t="str">
        <f>IF(VLOOKUP($C17, Mapping!$C$2:$L$181, 7, FALSE) = 0, "", VLOOKUP($C17, Mapping!$C$2:$L$181, 7, FALSE))</f>
        <v/>
      </c>
      <c r="I17" s="2" t="str">
        <f>IF(VLOOKUP($C17, Mapping!$C$2:$L$181, 8, FALSE) = 0, "", VLOOKUP($C17, Mapping!$C$2:$L$181, 8, FALSE))</f>
        <v/>
      </c>
      <c r="J17" s="2" t="str">
        <f>IF(VLOOKUP($C17, Mapping!$C$2:$L$181, 9, FALSE) = 0, "", VLOOKUP($C17, Mapping!$C$2:$L$181, 9, FALSE))</f>
        <v/>
      </c>
      <c r="K17" s="2" t="str">
        <f>IF(VLOOKUP($C17, Mapping!$C$2:$L$181, 10, FALSE) = 0, "", VLOOKUP($C17, Mapping!$C$2:$L$181, 10, FALSE))</f>
        <v/>
      </c>
    </row>
    <row r="18" spans="1:11" x14ac:dyDescent="0.25">
      <c r="A18" s="11" t="s">
        <v>422</v>
      </c>
      <c r="B18" s="31" t="s">
        <v>28</v>
      </c>
      <c r="C18" s="1" t="str">
        <f t="shared" si="0"/>
        <v>File/Lot[TestTemperature]</v>
      </c>
      <c r="D18" s="1" t="str">
        <f>IF(VLOOKUP($C18, Mapping!$C$2:$L$181, 2, FALSE) = 0, "", VLOOKUP($C18, Mapping!$C$2:$L$181, 2, FALSE))</f>
        <v>Temperature</v>
      </c>
      <c r="E18" s="1" t="str">
        <f>IF(VLOOKUP($C18, Mapping!$C$2:$L$181, 3, FALSE) = 0, "", VLOOKUP($C18, Mapping!$C$2:$L$181, 3, FALSE))</f>
        <v>MIR.TST_TEMP</v>
      </c>
      <c r="F18" s="1" t="str">
        <f>IF(VLOOKUP($C18, Mapping!$C$2:$L$181, 4, FALSE) = 0, "", VLOOKUP($C18, Mapping!$C$2:$L$181, 4, FALSE))</f>
        <v>Temperature</v>
      </c>
      <c r="G18" s="1" t="str">
        <f>IF(VLOOKUP($C18, Mapping!$C$2:$L$181, 6, FALSE) = 0, "", VLOOKUP($C18, Mapping!$C$2:$L$181, 6, FALSE))</f>
        <v>DbMetaData("Temperature", vTemperature)</v>
      </c>
      <c r="H18" s="2" t="str">
        <f>IF(VLOOKUP($C18, Mapping!$C$2:$L$181, 7, FALSE) = 0, "", VLOOKUP($C18, Mapping!$C$2:$L$181, 7, FALSE))</f>
        <v>op_log linked index 5</v>
      </c>
      <c r="I18" s="2" t="str">
        <f>IF(VLOOKUP($C18, Mapping!$C$2:$L$181, 8, FALSE) = 0, "", VLOOKUP($C18, Mapping!$C$2:$L$181, 8, FALSE))</f>
        <v/>
      </c>
      <c r="J18" s="2" t="str">
        <f>IF(VLOOKUP($C18, Mapping!$C$2:$L$181, 9, FALSE) = 0, "", VLOOKUP($C18, Mapping!$C$2:$L$181, 9, FALSE))</f>
        <v/>
      </c>
      <c r="K18" s="2" t="str">
        <f>IF(VLOOKUP($C18, Mapping!$C$2:$L$181, 10, FALSE) = 0, "", VLOOKUP($C18, Mapping!$C$2:$L$181, 10, FALSE))</f>
        <v/>
      </c>
    </row>
    <row r="19" spans="1:11" x14ac:dyDescent="0.25">
      <c r="A19" s="11" t="s">
        <v>422</v>
      </c>
      <c r="B19" s="31" t="s">
        <v>11</v>
      </c>
      <c r="C19" s="1" t="str">
        <f t="shared" si="0"/>
        <v>File/Lot[TesterType]</v>
      </c>
      <c r="D19" s="1" t="str">
        <f>IF(VLOOKUP($C19, Mapping!$C$2:$L$181, 2, FALSE) = 0, "", VLOOKUP($C19, Mapping!$C$2:$L$181, 2, FALSE))</f>
        <v>TesterType</v>
      </c>
      <c r="E19" s="1" t="str">
        <f>IF(VLOOKUP($C19, Mapping!$C$2:$L$181, 3, FALSE) = 0, "", VLOOKUP($C19, Mapping!$C$2:$L$181, 3, FALSE))</f>
        <v>MIR.TSTR_TYP</v>
      </c>
      <c r="F19" s="1" t="str">
        <f>IF(VLOOKUP($C19, Mapping!$C$2:$L$181, 4, FALSE) = 0, "", VLOOKUP($C19, Mapping!$C$2:$L$181, 4, FALSE))</f>
        <v>Tester Type/Model</v>
      </c>
      <c r="G19" s="1" t="str">
        <f>IF(VLOOKUP($C19, Mapping!$C$2:$L$181, 6, FALSE) = 0, "", VLOOKUP($C19, Mapping!$C$2:$L$181, 6, FALSE))</f>
        <v/>
      </c>
      <c r="H19" s="2" t="str">
        <f>IF(VLOOKUP($C19, Mapping!$C$2:$L$181, 7, FALSE) = 0, "", VLOOKUP($C19, Mapping!$C$2:$L$181, 7, FALSE))</f>
        <v>Equip[1] Type</v>
      </c>
      <c r="I19" s="2" t="str">
        <f>IF(VLOOKUP($C19, Mapping!$C$2:$L$181, 8, FALSE) = 0, "", VLOOKUP($C19, Mapping!$C$2:$L$181, 8, FALSE))</f>
        <v/>
      </c>
      <c r="J19" s="2" t="str">
        <f>IF(VLOOKUP($C19, Mapping!$C$2:$L$181, 9, FALSE) = 0, "", VLOOKUP($C19, Mapping!$C$2:$L$181, 9, FALSE))</f>
        <v/>
      </c>
      <c r="K19" s="2" t="str">
        <f>IF(VLOOKUP($C19, Mapping!$C$2:$L$181, 10, FALSE) = 0, "", VLOOKUP($C19, Mapping!$C$2:$L$181, 10, FALSE))</f>
        <v/>
      </c>
    </row>
    <row r="20" spans="1:11" x14ac:dyDescent="0.25">
      <c r="A20" s="11" t="s">
        <v>422</v>
      </c>
      <c r="B20" s="31" t="s">
        <v>55</v>
      </c>
      <c r="C20" s="1" t="str">
        <f t="shared" si="0"/>
        <v>File/Lot[FloorId]</v>
      </c>
      <c r="D20" s="1" t="str">
        <f>IF(VLOOKUP($C20, Mapping!$C$2:$L$181, 2, FALSE) = 0, "", VLOOKUP($C20, Mapping!$C$2:$L$181, 2, FALSE))</f>
        <v>TestFloor</v>
      </c>
      <c r="E20" s="1" t="str">
        <f>IF(VLOOKUP($C20, Mapping!$C$2:$L$181, 3, FALSE) = 0, "", VLOOKUP($C20, Mapping!$C$2:$L$181, 3, FALSE))</f>
        <v>MIR.FLOOR_ID</v>
      </c>
      <c r="F20" s="1" t="str">
        <f>IF(VLOOKUP($C20, Mapping!$C$2:$L$181, 4, FALSE) = 0, "", VLOOKUP($C20, Mapping!$C$2:$L$181, 4, FALSE))</f>
        <v>Test Floor</v>
      </c>
      <c r="G20" s="1" t="str">
        <f>IF(VLOOKUP($C20, Mapping!$C$2:$L$181, 6, FALSE) = 0, "", VLOOKUP($C20, Mapping!$C$2:$L$181, 6, FALSE))</f>
        <v>DbMetaData("Test Floor", vTestFloor)</v>
      </c>
      <c r="H20" s="2" t="str">
        <f>IF(VLOOKUP($C20, Mapping!$C$2:$L$181, 7, FALSE) = 0, "", VLOOKUP($C20, Mapping!$C$2:$L$181, 7, FALSE))</f>
        <v>op_log linked index 2</v>
      </c>
      <c r="I20" s="2" t="str">
        <f>IF(VLOOKUP($C20, Mapping!$C$2:$L$181, 8, FALSE) = 0, "", VLOOKUP($C20, Mapping!$C$2:$L$181, 8, FALSE))</f>
        <v/>
      </c>
      <c r="J20" s="2" t="str">
        <f>IF(VLOOKUP($C20, Mapping!$C$2:$L$181, 9, FALSE) = 0, "", VLOOKUP($C20, Mapping!$C$2:$L$181, 9, FALSE))</f>
        <v/>
      </c>
      <c r="K20" s="2" t="str">
        <f>IF(VLOOKUP($C20, Mapping!$C$2:$L$181, 10, FALSE) = 0, "", VLOOKUP($C20, Mapping!$C$2:$L$181, 10, FALSE))</f>
        <v/>
      </c>
    </row>
    <row r="21" spans="1:11" x14ac:dyDescent="0.25">
      <c r="A21" s="11" t="s">
        <v>422</v>
      </c>
      <c r="B21" s="31" t="s">
        <v>56</v>
      </c>
      <c r="C21" s="1" t="str">
        <f t="shared" si="0"/>
        <v>File/Lot[ExecType]</v>
      </c>
      <c r="D21" s="1" t="str">
        <f>IF(VLOOKUP($C21, Mapping!$C$2:$L$181, 2, FALSE) = 0, "", VLOOKUP($C21, Mapping!$C$2:$L$181, 2, FALSE))</f>
        <v>TesterSoftware</v>
      </c>
      <c r="E21" s="1" t="str">
        <f>IF(VLOOKUP($C21, Mapping!$C$2:$L$181, 3, FALSE) = 0, "", VLOOKUP($C21, Mapping!$C$2:$L$181, 3, FALSE))</f>
        <v>MIR.EXEC_TYP</v>
      </c>
      <c r="F21" s="1" t="str">
        <f>IF(VLOOKUP($C21, Mapping!$C$2:$L$181, 4, FALSE) = 0, "", VLOOKUP($C21, Mapping!$C$2:$L$181, 4, FALSE))</f>
        <v>Tester Software</v>
      </c>
      <c r="G21" s="1" t="str">
        <f>IF(VLOOKUP($C21, Mapping!$C$2:$L$181, 6, FALSE) = 0, "", VLOOKUP($C21, Mapping!$C$2:$L$181, 6, FALSE))</f>
        <v>DbMetaData("Test Software", vFileName)</v>
      </c>
      <c r="H21" s="2" t="str">
        <f>IF(VLOOKUP($C21, Mapping!$C$2:$L$181, 7, FALSE) = 0, "", VLOOKUP($C21, Mapping!$C$2:$L$181, 7, FALSE))</f>
        <v>op_log linked index 8</v>
      </c>
      <c r="I21" s="2" t="str">
        <f>IF(VLOOKUP($C21, Mapping!$C$2:$L$181, 8, FALSE) = 0, "", VLOOKUP($C21, Mapping!$C$2:$L$181, 8, FALSE))</f>
        <v/>
      </c>
      <c r="J21" s="2" t="str">
        <f>IF(VLOOKUP($C21, Mapping!$C$2:$L$181, 9, FALSE) = 0, "", VLOOKUP($C21, Mapping!$C$2:$L$181, 9, FALSE))</f>
        <v/>
      </c>
      <c r="K21" s="2" t="str">
        <f>IF(VLOOKUP($C21, Mapping!$C$2:$L$181, 10, FALSE) = 0, "", VLOOKUP($C21, Mapping!$C$2:$L$181, 10, FALSE))</f>
        <v/>
      </c>
    </row>
    <row r="22" spans="1:11" x14ac:dyDescent="0.25">
      <c r="A22" s="11" t="s">
        <v>422</v>
      </c>
      <c r="B22" s="31" t="s">
        <v>57</v>
      </c>
      <c r="C22" s="1" t="str">
        <f t="shared" si="0"/>
        <v>File/Lot[ExecVersion]</v>
      </c>
      <c r="D22" s="1" t="str">
        <f>IF(VLOOKUP($C22, Mapping!$C$2:$L$181, 2, FALSE) = 0, "", VLOOKUP($C22, Mapping!$C$2:$L$181, 2, FALSE))</f>
        <v>TesterSoftwareRevision</v>
      </c>
      <c r="E22" s="1" t="str">
        <f>IF(VLOOKUP($C22, Mapping!$C$2:$L$181, 3, FALSE) = 0, "", VLOOKUP($C22, Mapping!$C$2:$L$181, 3, FALSE))</f>
        <v>MIR.EXEC_VER</v>
      </c>
      <c r="F22" s="1" t="str">
        <f>IF(VLOOKUP($C22, Mapping!$C$2:$L$181, 4, FALSE) = 0, "", VLOOKUP($C22, Mapping!$C$2:$L$181, 4, FALSE))</f>
        <v>Tester Software Version</v>
      </c>
      <c r="G22" s="1" t="str">
        <f>IF(VLOOKUP($C22, Mapping!$C$2:$L$181, 6, FALSE) = 0, "", VLOOKUP($C22, Mapping!$C$2:$L$181, 6, FALSE))</f>
        <v>DbMetaData("Tester Software Version", vTesterSoftwareVersion)</v>
      </c>
      <c r="H22" s="2" t="str">
        <f>IF(VLOOKUP($C22, Mapping!$C$2:$L$181, 7, FALSE) = 0, "", VLOOKUP($C22, Mapping!$C$2:$L$181, 7, FALSE))</f>
        <v>op_log linked index 9</v>
      </c>
      <c r="I22" s="2" t="str">
        <f>IF(VLOOKUP($C22, Mapping!$C$2:$L$181, 8, FALSE) = 0, "", VLOOKUP($C22, Mapping!$C$2:$L$181, 8, FALSE))</f>
        <v/>
      </c>
      <c r="J22" s="2" t="str">
        <f>IF(VLOOKUP($C22, Mapping!$C$2:$L$181, 9, FALSE) = 0, "", VLOOKUP($C22, Mapping!$C$2:$L$181, 9, FALSE))</f>
        <v/>
      </c>
      <c r="K22" s="2" t="str">
        <f>IF(VLOOKUP($C22, Mapping!$C$2:$L$181, 10, FALSE) = 0, "", VLOOKUP($C22, Mapping!$C$2:$L$181, 10, FALSE))</f>
        <v/>
      </c>
    </row>
    <row r="23" spans="1:11" x14ac:dyDescent="0.25">
      <c r="A23" s="11" t="s">
        <v>422</v>
      </c>
      <c r="B23" s="31" t="s">
        <v>192</v>
      </c>
      <c r="C23" s="1" t="str">
        <f t="shared" si="0"/>
        <v>File/Lot[AUXFile]</v>
      </c>
      <c r="D23" s="1" t="str">
        <f>IF(VLOOKUP($C23, Mapping!$C$2:$L$181, 2, FALSE) = 0, "", VLOOKUP($C23, Mapping!$C$2:$L$181, 2, FALSE))</f>
        <v>PdsFile</v>
      </c>
      <c r="E23" s="1" t="str">
        <f>IF(VLOOKUP($C23, Mapping!$C$2:$L$181, 3, FALSE) = 0, "", VLOOKUP($C23, Mapping!$C$2:$L$181, 3, FALSE))</f>
        <v>MIR.AUX_FILE</v>
      </c>
      <c r="F23" s="1" t="str">
        <f>IF(VLOOKUP($C23, Mapping!$C$2:$L$181, 4, FALSE) = 0, "", VLOOKUP($C23, Mapping!$C$2:$L$181, 4, FALSE))</f>
        <v>PDS File</v>
      </c>
      <c r="G23" s="1" t="str">
        <f>IF(VLOOKUP($C23, Mapping!$C$2:$L$181, 6, FALSE) = 0, "", VLOOKUP($C23, Mapping!$C$2:$L$181, 6, FALSE))</f>
        <v>DbMetaData("PDS File", vFileName)</v>
      </c>
      <c r="H23" s="2" t="str">
        <f>IF(VLOOKUP($C23, Mapping!$C$2:$L$181, 7, FALSE) = 0, "", VLOOKUP($C23, Mapping!$C$2:$L$181, 7, FALSE))</f>
        <v>op_log linked index 16</v>
      </c>
      <c r="I23" s="2" t="str">
        <f>IF(VLOOKUP($C23, Mapping!$C$2:$L$181, 8, FALSE) = 0, "", VLOOKUP($C23, Mapping!$C$2:$L$181, 8, FALSE))</f>
        <v/>
      </c>
      <c r="J23" s="2" t="str">
        <f>IF(VLOOKUP($C23, Mapping!$C$2:$L$181, 9, FALSE) = 0, "", VLOOKUP($C23, Mapping!$C$2:$L$181, 9, FALSE))</f>
        <v/>
      </c>
      <c r="K23" s="2" t="str">
        <f>IF(VLOOKUP($C23, Mapping!$C$2:$L$181, 10, FALSE) = 0, "", VLOOKUP($C23, Mapping!$C$2:$L$181, 10, FALSE))</f>
        <v/>
      </c>
    </row>
    <row r="24" spans="1:11" x14ac:dyDescent="0.25">
      <c r="A24" s="11" t="s">
        <v>423</v>
      </c>
      <c r="B24" s="31" t="s">
        <v>30</v>
      </c>
      <c r="C24" s="1" t="str">
        <f t="shared" si="0"/>
        <v>File/Lot/Wafer[WaferId]</v>
      </c>
      <c r="D24" s="1" t="str">
        <f>IF(VLOOKUP($C24, Mapping!$C$2:$L$181, 2, FALSE) = 0, "", VLOOKUP($C24, Mapping!$C$2:$L$181, 2, FALSE))</f>
        <v>WaferNumber</v>
      </c>
      <c r="E24" s="1" t="str">
        <f>IF(VLOOKUP($C24, Mapping!$C$2:$L$181, 3, FALSE) = 0, "", VLOOKUP($C24, Mapping!$C$2:$L$181, 3, FALSE))</f>
        <v/>
      </c>
      <c r="F24" s="1" t="str">
        <f>IF(VLOOKUP($C24, Mapping!$C$2:$L$181, 4, FALSE) = 0, "", VLOOKUP($C24, Mapping!$C$2:$L$181, 4, FALSE))</f>
        <v>Wafer Number</v>
      </c>
      <c r="G24" s="1" t="str">
        <f>IF(VLOOKUP($C24, Mapping!$C$2:$L$181, 6, FALSE) = 0, "", VLOOKUP($C24, Mapping!$C$2:$L$181, 6, FALSE))</f>
        <v>vDbWfNum</v>
      </c>
      <c r="H24" s="2" t="str">
        <f>IF(VLOOKUP($C24, Mapping!$C$2:$L$181, 7, FALSE) = 0, "", VLOOKUP($C24, Mapping!$C$2:$L$181, 7, FALSE))</f>
        <v/>
      </c>
      <c r="I24" s="2" t="str">
        <f>IF(VLOOKUP($C24, Mapping!$C$2:$L$181, 8, FALSE) = 0, "", VLOOKUP($C24, Mapping!$C$2:$L$181, 8, FALSE))</f>
        <v/>
      </c>
      <c r="J24" s="2" t="str">
        <f>IF(VLOOKUP($C24, Mapping!$C$2:$L$181, 9, FALSE) = 0, "", VLOOKUP($C24, Mapping!$C$2:$L$181, 9, FALSE))</f>
        <v/>
      </c>
      <c r="K24" s="2" t="str">
        <f>IF(VLOOKUP($C24, Mapping!$C$2:$L$181, 10, FALSE) = 0, "", VLOOKUP($C24, Mapping!$C$2:$L$181, 10, FALSE))</f>
        <v/>
      </c>
    </row>
    <row r="25" spans="1:11" x14ac:dyDescent="0.25">
      <c r="A25" s="11" t="s">
        <v>424</v>
      </c>
      <c r="B25" s="1" t="s">
        <v>7</v>
      </c>
      <c r="C25" s="1" t="str">
        <f t="shared" si="0"/>
        <v>File/Lot/Parameters/Param[Id]</v>
      </c>
      <c r="D25" s="1" t="str">
        <f>IF(VLOOKUP($C25, Mapping!$C$2:$L$181, 2, FALSE) = 0, "", VLOOKUP($C25, Mapping!$C$2:$L$181, 2, FALSE))</f>
        <v/>
      </c>
      <c r="E25" s="1" t="str">
        <f>IF(VLOOKUP($C25, Mapping!$C$2:$L$181, 3, FALSE) = 0, "", VLOOKUP($C25, Mapping!$C$2:$L$181, 3, FALSE))</f>
        <v/>
      </c>
      <c r="F25" s="1" t="str">
        <f>IF(VLOOKUP($C25, Mapping!$C$2:$L$181, 4, FALSE) = 0, "", VLOOKUP($C25, Mapping!$C$2:$L$181, 4, FALSE))</f>
        <v/>
      </c>
      <c r="G25" s="1" t="str">
        <f>IF(VLOOKUP($C25, Mapping!$C$2:$L$181, 6, FALSE) = 0, "", VLOOKUP($C25, Mapping!$C$2:$L$181, 6, FALSE))</f>
        <v/>
      </c>
      <c r="H25" s="2" t="str">
        <f>IF(VLOOKUP($C25, Mapping!$C$2:$L$181, 7, FALSE) = 0, "", VLOOKUP($C25, Mapping!$C$2:$L$181, 7, FALSE))</f>
        <v/>
      </c>
      <c r="I25" s="2" t="str">
        <f>IF(VLOOKUP($C25, Mapping!$C$2:$L$181, 8, FALSE) = 0, "", VLOOKUP($C25, Mapping!$C$2:$L$181, 8, FALSE))</f>
        <v/>
      </c>
      <c r="J25" s="2" t="str">
        <f>IF(VLOOKUP($C25, Mapping!$C$2:$L$181, 9, FALSE) = 0, "", VLOOKUP($C25, Mapping!$C$2:$L$181, 9, FALSE))</f>
        <v/>
      </c>
      <c r="K25" s="2" t="str">
        <f>IF(VLOOKUP($C25, Mapping!$C$2:$L$181, 10, FALSE) = 0, "", VLOOKUP($C25, Mapping!$C$2:$L$181, 10, FALSE))</f>
        <v/>
      </c>
    </row>
    <row r="26" spans="1:11" x14ac:dyDescent="0.25">
      <c r="A26" s="11" t="s">
        <v>424</v>
      </c>
      <c r="B26" s="1" t="s">
        <v>32</v>
      </c>
      <c r="C26" s="1" t="str">
        <f t="shared" si="0"/>
        <v>File/Lot/Parameters/Param[TestName]</v>
      </c>
      <c r="D26" s="1" t="str">
        <f>IF(VLOOKUP($C26, Mapping!$C$2:$L$181, 2, FALSE) = 0, "", VLOOKUP($C26, Mapping!$C$2:$L$181, 2, FALSE))</f>
        <v/>
      </c>
      <c r="E26" s="1" t="str">
        <f>IF(VLOOKUP($C26, Mapping!$C$2:$L$181, 3, FALSE) = 0, "", VLOOKUP($C26, Mapping!$C$2:$L$181, 3, FALSE))</f>
        <v/>
      </c>
      <c r="F26" s="1" t="str">
        <f>IF(VLOOKUP($C26, Mapping!$C$2:$L$181, 4, FALSE) = 0, "", VLOOKUP($C26, Mapping!$C$2:$L$181, 4, FALSE))</f>
        <v>TestName (KeyCond)</v>
      </c>
      <c r="G26" s="1" t="str">
        <f>IF(VLOOKUP($C26, Mapping!$C$2:$L$181, 6, FALSE) = 0, "", VLOOKUP($C26, Mapping!$C$2:$L$181, 6, FALSE))</f>
        <v/>
      </c>
      <c r="H26" s="2" t="str">
        <f>IF(VLOOKUP($C26, Mapping!$C$2:$L$181, 7, FALSE) = 0, "", VLOOKUP($C26, Mapping!$C$2:$L$181, 7, FALSE))</f>
        <v/>
      </c>
      <c r="I26" s="2" t="str">
        <f>IF(VLOOKUP($C26, Mapping!$C$2:$L$181, 8, FALSE) = 0, "", VLOOKUP($C26, Mapping!$C$2:$L$181, 8, FALSE))</f>
        <v/>
      </c>
      <c r="J26" s="2" t="str">
        <f>IF(VLOOKUP($C26, Mapping!$C$2:$L$181, 9, FALSE) = 0, "", VLOOKUP($C26, Mapping!$C$2:$L$181, 9, FALSE))</f>
        <v/>
      </c>
      <c r="K26" s="2" t="str">
        <f>IF(VLOOKUP($C26, Mapping!$C$2:$L$181, 10, FALSE) = 0, "", VLOOKUP($C26, Mapping!$C$2:$L$181, 10, FALSE))</f>
        <v/>
      </c>
    </row>
    <row r="27" spans="1:11" x14ac:dyDescent="0.25">
      <c r="A27" s="11" t="s">
        <v>424</v>
      </c>
      <c r="B27" s="1" t="s">
        <v>33</v>
      </c>
      <c r="C27" s="1" t="str">
        <f t="shared" si="0"/>
        <v>File/Lot/Parameters/Param[TestNumber]</v>
      </c>
      <c r="D27" s="1" t="str">
        <f>IF(VLOOKUP($C27, Mapping!$C$2:$L$181, 2, FALSE) = 0, "", VLOOKUP($C27, Mapping!$C$2:$L$181, 2, FALSE))</f>
        <v/>
      </c>
      <c r="E27" s="1" t="str">
        <f>IF(VLOOKUP($C27, Mapping!$C$2:$L$181, 3, FALSE) = 0, "", VLOOKUP($C27, Mapping!$C$2:$L$181, 3, FALSE))</f>
        <v/>
      </c>
      <c r="F27" s="1" t="str">
        <f>IF(VLOOKUP($C27, Mapping!$C$2:$L$181, 4, FALSE) = 0, "", VLOOKUP($C27, Mapping!$C$2:$L$181, 4, FALSE))</f>
        <v>TestNumber (KeyCond)</v>
      </c>
      <c r="G27" s="1" t="str">
        <f>IF(VLOOKUP($C27, Mapping!$C$2:$L$181, 6, FALSE) = 0, "", VLOOKUP($C27, Mapping!$C$2:$L$181, 6, FALSE))</f>
        <v/>
      </c>
      <c r="H27" s="2" t="str">
        <f>IF(VLOOKUP($C27, Mapping!$C$2:$L$181, 7, FALSE) = 0, "", VLOOKUP($C27, Mapping!$C$2:$L$181, 7, FALSE))</f>
        <v/>
      </c>
      <c r="I27" s="2" t="str">
        <f>IF(VLOOKUP($C27, Mapping!$C$2:$L$181, 8, FALSE) = 0, "", VLOOKUP($C27, Mapping!$C$2:$L$181, 8, FALSE))</f>
        <v/>
      </c>
      <c r="J27" s="2" t="str">
        <f>IF(VLOOKUP($C27, Mapping!$C$2:$L$181, 9, FALSE) = 0, "", VLOOKUP($C27, Mapping!$C$2:$L$181, 9, FALSE))</f>
        <v/>
      </c>
      <c r="K27" s="2" t="str">
        <f>IF(VLOOKUP($C27, Mapping!$C$2:$L$181, 10, FALSE) = 0, "", VLOOKUP($C27, Mapping!$C$2:$L$181, 10, FALSE))</f>
        <v/>
      </c>
    </row>
    <row r="28" spans="1:11" x14ac:dyDescent="0.25">
      <c r="A28" s="11" t="s">
        <v>424</v>
      </c>
      <c r="B28" s="1" t="s">
        <v>34</v>
      </c>
      <c r="C28" s="1" t="str">
        <f t="shared" si="0"/>
        <v>File/Lot/Parameters/Param[Units]</v>
      </c>
      <c r="D28" s="20" t="str">
        <f>IF(VLOOKUP($C28, Mapping!$C$2:$L$181, 2, FALSE) = 0, "", VLOOKUP($C28, Mapping!$C$2:$L$181, 2, FALSE))</f>
        <v/>
      </c>
      <c r="E28" s="1" t="str">
        <f>IF(VLOOKUP($C28, Mapping!$C$2:$L$181, 3, FALSE) = 0, "", VLOOKUP($C28, Mapping!$C$2:$L$181, 3, FALSE))</f>
        <v/>
      </c>
      <c r="F28" s="1" t="str">
        <f>IF(VLOOKUP($C28, Mapping!$C$2:$L$181, 4, FALSE) = 0, "", VLOOKUP($C28, Mapping!$C$2:$L$181, 4, FALSE))</f>
        <v/>
      </c>
      <c r="G28" s="1" t="str">
        <f>IF(VLOOKUP($C28, Mapping!$C$2:$L$181, 6, FALSE) = 0, "", VLOOKUP($C28, Mapping!$C$2:$L$181, 6, FALSE))</f>
        <v/>
      </c>
      <c r="H28" s="2" t="str">
        <f>IF(VLOOKUP($C28, Mapping!$C$2:$L$181, 7, FALSE) = 0, "", VLOOKUP($C28, Mapping!$C$2:$L$181, 7, FALSE))</f>
        <v/>
      </c>
      <c r="I28" s="2" t="str">
        <f>IF(VLOOKUP($C28, Mapping!$C$2:$L$181, 8, FALSE) = 0, "", VLOOKUP($C28, Mapping!$C$2:$L$181, 8, FALSE))</f>
        <v/>
      </c>
      <c r="J28" s="2" t="str">
        <f>IF(VLOOKUP($C28, Mapping!$C$2:$L$181, 9, FALSE) = 0, "", VLOOKUP($C28, Mapping!$C$2:$L$181, 9, FALSE))</f>
        <v/>
      </c>
      <c r="K28" s="2" t="str">
        <f>IF(VLOOKUP($C28, Mapping!$C$2:$L$181, 10, FALSE) = 0, "", VLOOKUP($C28, Mapping!$C$2:$L$181, 10, FALSE))</f>
        <v/>
      </c>
    </row>
    <row r="29" spans="1:11" x14ac:dyDescent="0.25">
      <c r="A29" s="11" t="s">
        <v>425</v>
      </c>
      <c r="B29" s="1" t="s">
        <v>46</v>
      </c>
      <c r="C29" s="20" t="str">
        <f t="shared" si="0"/>
        <v>File/Lot/Wafer/ParametricData/Unit[Site]</v>
      </c>
      <c r="D29" s="20" t="str">
        <f>IF(VLOOKUP($C29, Mapping!$C$2:$L$181, 2, FALSE) = 0, "", VLOOKUP($C29, Mapping!$C$2:$L$181, 2, FALSE))</f>
        <v/>
      </c>
      <c r="E29" s="20" t="str">
        <f>IF(VLOOKUP($C29, Mapping!$C$2:$L$181, 3, FALSE) = 0, "", VLOOKUP($C29, Mapping!$C$2:$L$181, 3, FALSE))</f>
        <v/>
      </c>
      <c r="F29" s="20" t="str">
        <f>IF(VLOOKUP($C29, Mapping!$C$2:$L$181, 4, FALSE) = 0, "", VLOOKUP($C29, Mapping!$C$2:$L$181, 4, FALSE))</f>
        <v>Test Site ID</v>
      </c>
      <c r="G29" s="20" t="str">
        <f>IF(VLOOKUP($C29, Mapping!$C$2:$L$181, 6, FALSE) = 0, "", VLOOKUP($C29, Mapping!$C$2:$L$181, 6, FALSE))</f>
        <v>TestSite (Index)</v>
      </c>
      <c r="H29" s="30" t="str">
        <f>IF(VLOOKUP($C29, Mapping!$C$2:$L$181, 7, FALSE) = 0, "", VLOOKUP($C29, Mapping!$C$2:$L$181, 7, FALSE))</f>
        <v/>
      </c>
      <c r="I29" s="30" t="str">
        <f>IF(VLOOKUP($C29, Mapping!$C$2:$L$181, 8, FALSE) = 0, "", VLOOKUP($C29, Mapping!$C$2:$L$181, 8, FALSE))</f>
        <v/>
      </c>
      <c r="J29" s="30" t="str">
        <f>IF(VLOOKUP($C29, Mapping!$C$2:$L$181, 9, FALSE) = 0, "", VLOOKUP($C29, Mapping!$C$2:$L$181, 9, FALSE))</f>
        <v/>
      </c>
      <c r="K29" s="21" t="str">
        <f>IF(VLOOKUP($C29, Mapping!$C$2:$L$181, 10, FALSE) = 0, "", VLOOKUP($C29, Mapping!$C$2:$L$181, 10, FALSE))</f>
        <v/>
      </c>
    </row>
    <row r="30" spans="1:11" x14ac:dyDescent="0.25">
      <c r="A30" s="11"/>
      <c r="B30" s="1" t="s">
        <v>13</v>
      </c>
      <c r="C30" s="20" t="str">
        <f t="shared" si="0"/>
        <v>[Program Group]</v>
      </c>
      <c r="D30" s="20" t="str">
        <f>IF(VLOOKUP($C30, Mapping!$C$2:$L$181, 2, FALSE) = 0, "", VLOOKUP($C30, Mapping!$C$2:$L$181, 2, FALSE))</f>
        <v>ProgramGroup</v>
      </c>
      <c r="E30" s="20" t="str">
        <f>IF(VLOOKUP($C30, Mapping!$C$2:$L$181, 3, FALSE) = 0, "", VLOOKUP($C30, Mapping!$C$2:$L$181, 3, FALSE))</f>
        <v/>
      </c>
      <c r="F30" s="20" t="str">
        <f>IF(VLOOKUP($C30, Mapping!$C$2:$L$181, 4, FALSE) = 0, "", VLOOKUP($C30, Mapping!$C$2:$L$181, 4, FALSE))</f>
        <v>Program Group</v>
      </c>
      <c r="G30" s="20" t="str">
        <f>IF(VLOOKUP($C30, Mapping!$C$2:$L$181, 6, FALSE) = 0, "", VLOOKUP($C30, Mapping!$C$2:$L$181, 6, FALSE))</f>
        <v>vDbProgGroup</v>
      </c>
      <c r="H30" s="30" t="str">
        <f>IF(VLOOKUP($C30, Mapping!$C$2:$L$181, 7, FALSE) = 0, "", VLOOKUP($C30, Mapping!$C$2:$L$181, 7, FALSE))</f>
        <v/>
      </c>
      <c r="I30" s="30" t="str">
        <f>IF(VLOOKUP($C30, Mapping!$C$2:$L$181, 8, FALSE) = 0, "", VLOOKUP($C30, Mapping!$C$2:$L$181, 8, FALSE))</f>
        <v/>
      </c>
      <c r="J30" s="30" t="str">
        <f>IF(VLOOKUP($C30, Mapping!$C$2:$L$181, 9, FALSE) = 0, "", VLOOKUP($C30, Mapping!$C$2:$L$181, 9, FALSE))</f>
        <v/>
      </c>
      <c r="K30" s="21" t="str">
        <f>IF(VLOOKUP($C30, Mapping!$C$2:$L$181, 10, FALSE) = 0, "", VLOOKUP($C30, Mapping!$C$2:$L$181, 10, FALSE))</f>
        <v>Constant: "Probe Parametric"</v>
      </c>
    </row>
    <row r="31" spans="1:11" x14ac:dyDescent="0.25">
      <c r="A31" s="11"/>
      <c r="B31" s="1" t="s">
        <v>52</v>
      </c>
      <c r="C31" s="20" t="str">
        <f t="shared" si="0"/>
        <v>[Area]</v>
      </c>
      <c r="D31" s="20" t="str">
        <f>IF(VLOOKUP($C31, Mapping!$C$2:$L$181, 2, FALSE) = 0, "", VLOOKUP($C31, Mapping!$C$2:$L$181, 2, FALSE))</f>
        <v/>
      </c>
      <c r="E31" s="20" t="str">
        <f>IF(VLOOKUP($C31, Mapping!$C$2:$L$181, 3, FALSE) = 0, "", VLOOKUP($C31, Mapping!$C$2:$L$181, 3, FALSE))</f>
        <v/>
      </c>
      <c r="F31" s="20" t="str">
        <f>IF(VLOOKUP($C31, Mapping!$C$2:$L$181, 4, FALSE) = 0, "", VLOOKUP($C31, Mapping!$C$2:$L$181, 4, FALSE))</f>
        <v>Area</v>
      </c>
      <c r="G31" s="20" t="str">
        <f>IF(VLOOKUP($C31, Mapping!$C$2:$L$181, 6, FALSE) = 0, "", VLOOKUP($C31, Mapping!$C$2:$L$181, 6, FALSE))</f>
        <v>DbMetaData("Area", vArea)</v>
      </c>
      <c r="H31" s="30" t="str">
        <f>IF(VLOOKUP($C31, Mapping!$C$2:$L$181, 7, FALSE) = 0, "", VLOOKUP($C31, Mapping!$C$2:$L$181, 7, FALSE))</f>
        <v>op_log linked index 1</v>
      </c>
      <c r="I31" s="30" t="str">
        <f>IF(VLOOKUP($C31, Mapping!$C$2:$L$181, 8, FALSE) = 0, "", VLOOKUP($C31, Mapping!$C$2:$L$181, 8, FALSE))</f>
        <v/>
      </c>
      <c r="J31" s="30" t="str">
        <f>IF(VLOOKUP($C31, Mapping!$C$2:$L$181, 9, FALSE) = 0, "", VLOOKUP($C31, Mapping!$C$2:$L$181, 9, FALSE))</f>
        <v/>
      </c>
      <c r="K31" s="21" t="str">
        <f>IF(VLOOKUP($C31, Mapping!$C$2:$L$181, 10, FALSE) = 0, "", VLOOKUP($C31, Mapping!$C$2:$L$181, 10, FALSE))</f>
        <v>Constant: "Probe"</v>
      </c>
    </row>
    <row r="32" spans="1:11" x14ac:dyDescent="0.25">
      <c r="A32" s="11" t="s">
        <v>422</v>
      </c>
      <c r="B32" s="3" t="s">
        <v>289</v>
      </c>
      <c r="C32" s="20" t="str">
        <f t="shared" ref="C32:C37" si="1">IF(NOT(ISBLANK(B32)),_xlfn.CONCAT(A32,"[",B32,"]"),"")</f>
        <v>File/Lot[Tester/Tool ID]</v>
      </c>
      <c r="D32" s="20" t="str">
        <f>IF(VLOOKUP($C32, Mapping!$C$2:$L$181, 2, FALSE) = 0, "", VLOOKUP($C32, Mapping!$C$2:$L$181, 2, FALSE))</f>
        <v>MeasuringEquipment</v>
      </c>
      <c r="E32" s="20" t="str">
        <f>IF(VLOOKUP($C32, Mapping!$C$2:$L$181, 3, FALSE) = 0, "", VLOOKUP($C32, Mapping!$C$2:$L$181, 3, FALSE))</f>
        <v/>
      </c>
      <c r="F32" s="20" t="str">
        <f>IF(VLOOKUP($C32, Mapping!$C$2:$L$181, 4, FALSE) = 0, "", VLOOKUP($C32, Mapping!$C$2:$L$181, 4, FALSE))</f>
        <v>Tester/Tool ID</v>
      </c>
      <c r="G32" s="20" t="str">
        <f>IF(VLOOKUP($C32, Mapping!$C$2:$L$181, 6, FALSE) = 0, "", VLOOKUP($C32, Mapping!$C$2:$L$181, 6, FALSE))</f>
        <v>vDbEquip1</v>
      </c>
      <c r="H32" s="30" t="str">
        <f>IF(VLOOKUP($C32, Mapping!$C$2:$L$181, 7, FALSE) = 0, "", VLOOKUP($C32, Mapping!$C$2:$L$181, 7, FALSE))</f>
        <v>Equip[1]</v>
      </c>
      <c r="I32" s="30" t="str">
        <f>IF(VLOOKUP($C32, Mapping!$C$2:$L$181, 8, FALSE) = 0, "", VLOOKUP($C32, Mapping!$C$2:$L$181, 8, FALSE))</f>
        <v/>
      </c>
      <c r="J32" s="30" t="str">
        <f>IF(VLOOKUP($C32, Mapping!$C$2:$L$181, 9, FALSE) = 0, "", VLOOKUP($C32, Mapping!$C$2:$L$181, 9, FALSE))</f>
        <v/>
      </c>
      <c r="K32" s="21" t="str">
        <f>IF(VLOOKUP($C32, Mapping!$C$2:$L$181, 10, FALSE) = 0, "", VLOOKUP($C32, Mapping!$C$2:$L$181, 10, FALSE))</f>
        <v/>
      </c>
    </row>
    <row r="33" spans="1:11" x14ac:dyDescent="0.25">
      <c r="A33" s="10" t="s">
        <v>422</v>
      </c>
      <c r="B33" s="3" t="s">
        <v>11</v>
      </c>
      <c r="C33" s="20" t="str">
        <f t="shared" si="1"/>
        <v>File/Lot[TesterType]</v>
      </c>
      <c r="D33" s="20" t="str">
        <f>IF(VLOOKUP($C33, Mapping!$C$2:$L$181, 2, FALSE) = 0, "", VLOOKUP($C33, Mapping!$C$2:$L$181, 2, FALSE))</f>
        <v>TesterType</v>
      </c>
      <c r="E33" s="20" t="str">
        <f>IF(VLOOKUP($C33, Mapping!$C$2:$L$181, 3, FALSE) = 0, "", VLOOKUP($C33, Mapping!$C$2:$L$181, 3, FALSE))</f>
        <v>MIR.TSTR_TYP</v>
      </c>
      <c r="F33" s="20" t="str">
        <f>IF(VLOOKUP($C33, Mapping!$C$2:$L$181, 4, FALSE) = 0, "", VLOOKUP($C33, Mapping!$C$2:$L$181, 4, FALSE))</f>
        <v>Tester Type/Model</v>
      </c>
      <c r="G33" s="20" t="str">
        <f>IF(VLOOKUP($C33, Mapping!$C$2:$L$181, 6, FALSE) = 0, "", VLOOKUP($C33, Mapping!$C$2:$L$181, 6, FALSE))</f>
        <v/>
      </c>
      <c r="H33" s="30" t="str">
        <f>IF(VLOOKUP($C33, Mapping!$C$2:$L$181, 7, FALSE) = 0, "", VLOOKUP($C33, Mapping!$C$2:$L$181, 7, FALSE))</f>
        <v>Equip[1] Type</v>
      </c>
      <c r="I33" s="30" t="str">
        <f>IF(VLOOKUP($C33, Mapping!$C$2:$L$181, 8, FALSE) = 0, "", VLOOKUP($C33, Mapping!$C$2:$L$181, 8, FALSE))</f>
        <v/>
      </c>
      <c r="J33" s="30" t="str">
        <f>IF(VLOOKUP($C33, Mapping!$C$2:$L$181, 9, FALSE) = 0, "", VLOOKUP($C33, Mapping!$C$2:$L$181, 9, FALSE))</f>
        <v/>
      </c>
      <c r="K33" s="21" t="str">
        <f>IF(VLOOKUP($C33, Mapping!$C$2:$L$181, 10, FALSE) = 0, "", VLOOKUP($C33, Mapping!$C$2:$L$181, 10, FALSE))</f>
        <v/>
      </c>
    </row>
    <row r="34" spans="1:11" x14ac:dyDescent="0.25">
      <c r="A34" s="10" t="s">
        <v>429</v>
      </c>
      <c r="B34" s="3" t="s">
        <v>248</v>
      </c>
      <c r="C34" s="20" t="str">
        <f t="shared" si="1"/>
        <v>File/Lot/Sites/Site[HandlerId]</v>
      </c>
      <c r="D34" s="20" t="str">
        <f>IF(VLOOKUP($C34, Mapping!$C$2:$L$181, 2, FALSE) = 0, "", VLOOKUP($C34, Mapping!$C$2:$L$181, 2, FALSE))</f>
        <v/>
      </c>
      <c r="E34" s="20" t="str">
        <f>IF(VLOOKUP($C34, Mapping!$C$2:$L$181, 3, FALSE) = 0, "", VLOOKUP($C34, Mapping!$C$2:$L$181, 3, FALSE))</f>
        <v>SDR.HAND_ID</v>
      </c>
      <c r="F34" s="20" t="str">
        <f>IF(VLOOKUP($C34, Mapping!$C$2:$L$181, 4, FALSE) = 0, "", VLOOKUP($C34, Mapping!$C$2:$L$181, 4, FALSE))</f>
        <v>Prober ID</v>
      </c>
      <c r="G34" s="20" t="str">
        <f>IF(VLOOKUP($C34, Mapping!$C$2:$L$181, 6, FALSE) = 0, "", VLOOKUP($C34, Mapping!$C$2:$L$181, 6, FALSE))</f>
        <v>vDbEquip2</v>
      </c>
      <c r="H34" s="30" t="str">
        <f>IF(VLOOKUP($C34, Mapping!$C$2:$L$181, 7, FALSE) = 0, "", VLOOKUP($C34, Mapping!$C$2:$L$181, 7, FALSE))</f>
        <v>Equip[2]</v>
      </c>
      <c r="I34" s="30" t="str">
        <f>IF(VLOOKUP($C34, Mapping!$C$2:$L$181, 8, FALSE) = 0, "", VLOOKUP($C34, Mapping!$C$2:$L$181, 8, FALSE))</f>
        <v/>
      </c>
      <c r="J34" s="30" t="str">
        <f>IF(VLOOKUP($C34, Mapping!$C$2:$L$181, 9, FALSE) = 0, "", VLOOKUP($C34, Mapping!$C$2:$L$181, 9, FALSE))</f>
        <v/>
      </c>
      <c r="K34" s="21" t="str">
        <f>IF(VLOOKUP($C34, Mapping!$C$2:$L$181, 10, FALSE) = 0, "", VLOOKUP($C34, Mapping!$C$2:$L$181, 10, FALSE))</f>
        <v/>
      </c>
    </row>
    <row r="35" spans="1:11" x14ac:dyDescent="0.25">
      <c r="A35" s="11"/>
      <c r="B35" s="3" t="s">
        <v>326</v>
      </c>
      <c r="C35" s="20" t="str">
        <f t="shared" si="1"/>
        <v>[Probe ID Type]</v>
      </c>
      <c r="D35" s="20" t="str">
        <f>IF(VLOOKUP($C35, Mapping!$C$2:$L$181, 2, FALSE) = 0, "", VLOOKUP($C35, Mapping!$C$2:$L$181, 2, FALSE))</f>
        <v/>
      </c>
      <c r="E35" s="20" t="str">
        <f>IF(VLOOKUP($C35, Mapping!$C$2:$L$181, 3, FALSE) = 0, "", VLOOKUP($C35, Mapping!$C$2:$L$181, 3, FALSE))</f>
        <v>SDR.HAND_TYP</v>
      </c>
      <c r="F35" s="20" t="str">
        <f>IF(VLOOKUP($C35, Mapping!$C$2:$L$181, 4, FALSE) = 0, "", VLOOKUP($C35, Mapping!$C$2:$L$181, 4, FALSE))</f>
        <v>Prober ID Type</v>
      </c>
      <c r="G35" s="20" t="str">
        <f>IF(VLOOKUP($C35, Mapping!$C$2:$L$181, 6, FALSE) = 0, "", VLOOKUP($C35, Mapping!$C$2:$L$181, 6, FALSE))</f>
        <v/>
      </c>
      <c r="H35" s="30" t="str">
        <f>IF(VLOOKUP($C35, Mapping!$C$2:$L$181, 7, FALSE) = 0, "", VLOOKUP($C35, Mapping!$C$2:$L$181, 7, FALSE))</f>
        <v>Equip[2] Type</v>
      </c>
      <c r="I35" s="30" t="str">
        <f>IF(VLOOKUP($C35, Mapping!$C$2:$L$181, 8, FALSE) = 0, "", VLOOKUP($C35, Mapping!$C$2:$L$181, 8, FALSE))</f>
        <v/>
      </c>
      <c r="J35" s="30" t="str">
        <f>IF(VLOOKUP($C35, Mapping!$C$2:$L$181, 9, FALSE) = 0, "", VLOOKUP($C35, Mapping!$C$2:$L$181, 9, FALSE))</f>
        <v/>
      </c>
      <c r="K35" s="21" t="str">
        <f>IF(VLOOKUP($C35, Mapping!$C$2:$L$181, 10, FALSE) = 0, "", VLOOKUP($C35, Mapping!$C$2:$L$181, 10, FALSE))</f>
        <v/>
      </c>
    </row>
    <row r="36" spans="1:11" x14ac:dyDescent="0.25">
      <c r="A36" s="11" t="s">
        <v>429</v>
      </c>
      <c r="B36" s="3" t="s">
        <v>250</v>
      </c>
      <c r="C36" s="20" t="str">
        <f t="shared" si="1"/>
        <v>File/Lot/Sites/Site[CardId]</v>
      </c>
      <c r="D36" s="20" t="str">
        <f>IF(VLOOKUP($C36, Mapping!$C$2:$L$181, 2, FALSE) = 0, "", VLOOKUP($C36, Mapping!$C$2:$L$181, 2, FALSE))</f>
        <v/>
      </c>
      <c r="E36" s="20" t="str">
        <f>IF(VLOOKUP($C36, Mapping!$C$2:$L$181, 3, FALSE) = 0, "", VLOOKUP($C36, Mapping!$C$2:$L$181, 3, FALSE))</f>
        <v>SDR.CARD_ID</v>
      </c>
      <c r="F36" s="20" t="str">
        <f>IF(VLOOKUP($C36, Mapping!$C$2:$L$181, 4, FALSE) = 0, "", VLOOKUP($C36, Mapping!$C$2:$L$181, 4, FALSE))</f>
        <v>Probe Card</v>
      </c>
      <c r="G36" s="20" t="str">
        <f>IF(VLOOKUP($C36, Mapping!$C$2:$L$181, 6, FALSE) = 0, "", VLOOKUP($C36, Mapping!$C$2:$L$181, 6, FALSE))</f>
        <v>vDbEquip3</v>
      </c>
      <c r="H36" s="30" t="str">
        <f>IF(VLOOKUP($C36, Mapping!$C$2:$L$181, 7, FALSE) = 0, "", VLOOKUP($C36, Mapping!$C$2:$L$181, 7, FALSE))</f>
        <v>Equip[3]</v>
      </c>
      <c r="I36" s="30" t="str">
        <f>IF(VLOOKUP($C36, Mapping!$C$2:$L$181, 8, FALSE) = 0, "", VLOOKUP($C36, Mapping!$C$2:$L$181, 8, FALSE))</f>
        <v/>
      </c>
      <c r="J36" s="30" t="str">
        <f>IF(VLOOKUP($C36, Mapping!$C$2:$L$181, 9, FALSE) = 0, "", VLOOKUP($C36, Mapping!$C$2:$L$181, 9, FALSE))</f>
        <v/>
      </c>
      <c r="K36" s="21" t="str">
        <f>IF(VLOOKUP($C36, Mapping!$C$2:$L$181, 10, FALSE) = 0, "", VLOOKUP($C36, Mapping!$C$2:$L$181, 10, FALSE))</f>
        <v/>
      </c>
    </row>
    <row r="37" spans="1:11" x14ac:dyDescent="0.25">
      <c r="A37" s="11"/>
      <c r="B37" s="3" t="s">
        <v>110</v>
      </c>
      <c r="C37" s="20" t="str">
        <f t="shared" si="1"/>
        <v>[Probe Card Type]</v>
      </c>
      <c r="D37" s="36" t="str">
        <f>IF(VLOOKUP($C37, Mapping!$C$2:$L$181, 2, FALSE) = 0, "", VLOOKUP($C37, Mapping!$C$2:$L$181, 2, FALSE))</f>
        <v/>
      </c>
      <c r="E37" s="20" t="str">
        <f>IF(VLOOKUP($C37, Mapping!$C$2:$L$181, 3, FALSE) = 0, "", VLOOKUP($C37, Mapping!$C$2:$L$181, 3, FALSE))</f>
        <v>SDR.CARD_TYP</v>
      </c>
      <c r="F37" s="20" t="str">
        <f>IF(VLOOKUP($C37, Mapping!$C$2:$L$181, 4, FALSE) = 0, "", VLOOKUP($C37, Mapping!$C$2:$L$181, 4, FALSE))</f>
        <v>Probe Card Type</v>
      </c>
      <c r="G37" s="20" t="str">
        <f>IF(VLOOKUP($C37, Mapping!$C$2:$L$181, 6, FALSE) = 0, "", VLOOKUP($C37, Mapping!$C$2:$L$181, 6, FALSE))</f>
        <v/>
      </c>
      <c r="H37" s="30" t="str">
        <f>IF(VLOOKUP($C37, Mapping!$C$2:$L$181, 7, FALSE) = 0, "", VLOOKUP($C37, Mapping!$C$2:$L$181, 7, FALSE))</f>
        <v>Equip[3] Type</v>
      </c>
      <c r="I37" s="30" t="str">
        <f>IF(VLOOKUP($C37, Mapping!$C$2:$L$181, 8, FALSE) = 0, "", VLOOKUP($C37, Mapping!$C$2:$L$181, 8, FALSE))</f>
        <v/>
      </c>
      <c r="J37" s="30" t="str">
        <f>IF(VLOOKUP($C37, Mapping!$C$2:$L$181, 9, FALSE) = 0, "", VLOOKUP($C37, Mapping!$C$2:$L$181, 9, FALSE))</f>
        <v/>
      </c>
      <c r="K37" s="21" t="str">
        <f>IF(VLOOKUP($C37, Mapping!$C$2:$L$181, 10, FALSE) = 0, "", VLOOKUP($C37, Mapping!$C$2:$L$181, 10, FALSE))</f>
        <v/>
      </c>
    </row>
    <row r="38" spans="1:11" x14ac:dyDescent="0.25">
      <c r="A38" s="10" t="s">
        <v>432</v>
      </c>
      <c r="B38" s="3" t="s">
        <v>433</v>
      </c>
      <c r="C38" s="36" t="str">
        <f>IF(NOT(ISBLANK(B38)),_xlfn.CONCAT(A38,"[",B38,"]"),"")</f>
        <v>DwPlm[PAL4_CD]</v>
      </c>
      <c r="D38" s="20" t="str">
        <f>IF(VLOOKUP($C38, Mapping!$C$2:$L$181, 2, FALSE) = 0, "", VLOOKUP($C38, Mapping!$C$2:$L$181, 2, FALSE))</f>
        <v>Pti4Pal</v>
      </c>
      <c r="E38" s="36" t="str">
        <f>IF(VLOOKUP($C38, Mapping!$C$2:$L$181, 3, FALSE) = 0, "", VLOOKUP($C38, Mapping!$C$2:$L$181, 3, FALSE))</f>
        <v/>
      </c>
      <c r="F38" s="36" t="str">
        <f>IF(VLOOKUP($C38, Mapping!$C$2:$L$181, 4, FALSE) = 0, "", VLOOKUP($C38, Mapping!$C$2:$L$181, 4, FALSE))</f>
        <v>PTI4/PAL</v>
      </c>
      <c r="G38" s="36" t="str">
        <f>IF(VLOOKUP($C38, Mapping!$C$2:$L$181, 6, FALSE) = 0, "", VLOOKUP($C38, Mapping!$C$2:$L$181, 6, FALSE))</f>
        <v>DbMetaData("PTI4/PAL", vPti4Pal)</v>
      </c>
      <c r="H38" s="30" t="str">
        <f>IF(VLOOKUP($C38, Mapping!$C$2:$L$181, 7, FALSE) = 0, "", VLOOKUP($C38, Mapping!$C$2:$L$181, 7, FALSE))</f>
        <v>op_log linked index 4</v>
      </c>
      <c r="I38" s="30" t="str">
        <f>IF(VLOOKUP($C38, Mapping!$C$2:$L$181, 8, FALSE) = 0, "", VLOOKUP($C38, Mapping!$C$2:$L$181, 8, FALSE))</f>
        <v/>
      </c>
      <c r="J38" s="30" t="str">
        <f>IF(VLOOKUP($C38, Mapping!$C$2:$L$181, 9, FALSE) = 0, "", VLOOKUP($C38, Mapping!$C$2:$L$181, 9, FALSE))</f>
        <v/>
      </c>
      <c r="K38" s="37" t="str">
        <f>IF(VLOOKUP($C38, Mapping!$C$2:$L$181, 10, FALSE) = 0, "", VLOOKUP($C38, Mapping!$C$2:$L$181, 10, FALSE))</f>
        <v>LotG or Agile; Eric</v>
      </c>
    </row>
    <row r="39" spans="1:11" x14ac:dyDescent="0.25">
      <c r="A39" s="1" t="s">
        <v>432</v>
      </c>
      <c r="B39" s="4" t="s">
        <v>437</v>
      </c>
      <c r="C39" s="20" t="str">
        <f t="shared" ref="C39:C40" si="2">IF(NOT(ISBLANK(B39)),_xlfn.CONCAT(A39,"[",B39,"]"),"")</f>
        <v>DwPlm[WFR_FAB_MASK_CONFIG_ID]</v>
      </c>
      <c r="D39" s="20" t="str">
        <f>IF(VLOOKUP($C39, Mapping!$C$2:$L$181, 2, FALSE) = 0, "", VLOOKUP($C39, Mapping!$C$2:$L$181, 2, FALSE))</f>
        <v>MaskSet</v>
      </c>
      <c r="E39" s="20" t="str">
        <f>IF(VLOOKUP($C39, Mapping!$C$2:$L$181, 3, FALSE) = 0, "", VLOOKUP($C39, Mapping!$C$2:$L$181, 3, FALSE))</f>
        <v/>
      </c>
      <c r="F39" s="20" t="str">
        <f>IF(VLOOKUP($C39, Mapping!$C$2:$L$181, 4, FALSE) = 0, "", VLOOKUP($C39, Mapping!$C$2:$L$181, 4, FALSE))</f>
        <v>Mask / Mask Set</v>
      </c>
      <c r="G39" s="20" t="str">
        <f>IF(VLOOKUP($C39, Mapping!$C$2:$L$181, 6, FALSE) = 0, "", VLOOKUP($C39, Mapping!$C$2:$L$181, 6, FALSE))</f>
        <v>DbMetaData("Mask / Mask Set", vMaskMaskSet)</v>
      </c>
      <c r="H39" s="30" t="str">
        <f>IF(VLOOKUP($C39, Mapping!$C$2:$L$181, 7, FALSE) = 0, "", VLOOKUP($C39, Mapping!$C$2:$L$181, 7, FALSE))</f>
        <v>op_log linked index 21</v>
      </c>
      <c r="I39" s="30" t="str">
        <f>IF(VLOOKUP($C39, Mapping!$C$2:$L$181, 8, FALSE) = 0, "", VLOOKUP($C39, Mapping!$C$2:$L$181, 8, FALSE))</f>
        <v/>
      </c>
      <c r="J39" s="30" t="str">
        <f>IF(VLOOKUP($C39, Mapping!$C$2:$L$181, 9, FALSE) = 0, "", VLOOKUP($C39, Mapping!$C$2:$L$181, 9, FALSE))</f>
        <v/>
      </c>
      <c r="K39" s="21" t="str">
        <f>IF(VLOOKUP($C39, Mapping!$C$2:$L$181, 10, FALSE) = 0, "", VLOOKUP($C39, Mapping!$C$2:$L$181, 10, FALSE))</f>
        <v>LotG or Agile; Eric</v>
      </c>
    </row>
    <row r="40" spans="1:11" x14ac:dyDescent="0.25">
      <c r="A40" s="1" t="s">
        <v>432</v>
      </c>
      <c r="B40" s="4" t="s">
        <v>434</v>
      </c>
      <c r="C40" s="20" t="str">
        <f t="shared" si="2"/>
        <v>DwPlm[WFR_TECH_VARIANT_ID]</v>
      </c>
      <c r="D40" s="20" t="str">
        <f>IF(VLOOKUP($C40, Mapping!$C$2:$L$181, 2, FALSE) = 0, "", VLOOKUP($C40, Mapping!$C$2:$L$181, 2, FALSE))</f>
        <v>ProcessFamily</v>
      </c>
      <c r="E40" s="20" t="str">
        <f>IF(VLOOKUP($C40, Mapping!$C$2:$L$181, 3, FALSE) = 0, "", VLOOKUP($C40, Mapping!$C$2:$L$181, 3, FALSE))</f>
        <v/>
      </c>
      <c r="F40" s="20" t="str">
        <f>IF(VLOOKUP($C40, Mapping!$C$2:$L$181, 4, FALSE) = 0, "", VLOOKUP($C40, Mapping!$C$2:$L$181, 4, FALSE))</f>
        <v>Process Family</v>
      </c>
      <c r="G40" s="20" t="str">
        <f>IF(VLOOKUP($C40, Mapping!$C$2:$L$181, 6, FALSE) = 0, "", VLOOKUP($C40, Mapping!$C$2:$L$181, 6, FALSE))</f>
        <v>DbMetaData("Process Family", vProcessFamily)</v>
      </c>
      <c r="H40" s="30" t="str">
        <f>IF(VLOOKUP($C40, Mapping!$C$2:$L$181, 7, FALSE) = 0, "", VLOOKUP($C40, Mapping!$C$2:$L$181, 7, FALSE))</f>
        <v>op_log linked index 22</v>
      </c>
      <c r="I40" s="30" t="str">
        <f>IF(VLOOKUP($C40, Mapping!$C$2:$L$181, 8, FALSE) = 0, "", VLOOKUP($C40, Mapping!$C$2:$L$181, 8, FALSE))</f>
        <v/>
      </c>
      <c r="J40" s="30" t="str">
        <f>IF(VLOOKUP($C40, Mapping!$C$2:$L$181, 9, FALSE) = 0, "", VLOOKUP($C40, Mapping!$C$2:$L$181, 9, FALSE))</f>
        <v/>
      </c>
      <c r="K40" s="21" t="str">
        <f>IF(VLOOKUP($C40, Mapping!$C$2:$L$181, 10, FALSE) = 0, "", VLOOKUP($C40, Mapping!$C$2:$L$181, 10, FALSE))</f>
        <v>LotG or Agile; Eric</v>
      </c>
    </row>
    <row r="41" spans="1:11" x14ac:dyDescent="0.25">
      <c r="A41" s="11"/>
      <c r="B41" s="4" t="s">
        <v>285</v>
      </c>
      <c r="C41" s="20" t="str">
        <f>IF(NOT(ISBLANK(B41)),_xlfn.CONCAT(A41,"[",B41,"]"),"")</f>
        <v>[Test Head]</v>
      </c>
      <c r="D41" s="20" t="str">
        <f>IF(VLOOKUP($C41, Mapping!$C$2:$L$181, 2, FALSE) = 0, "", VLOOKUP($C41, Mapping!$C$2:$L$181, 2, FALSE))</f>
        <v>TestHead</v>
      </c>
      <c r="E41" s="20" t="str">
        <f>IF(VLOOKUP($C41, Mapping!$C$2:$L$181, 3, FALSE) = 0, "", VLOOKUP($C41, Mapping!$C$2:$L$181, 3, FALSE))</f>
        <v/>
      </c>
      <c r="F41" s="20" t="str">
        <f>IF(VLOOKUP($C41, Mapping!$C$2:$L$181, 4, FALSE) = 0, "", VLOOKUP($C41, Mapping!$C$2:$L$181, 4, FALSE))</f>
        <v>Test Head</v>
      </c>
      <c r="G41" s="20" t="str">
        <f>IF(VLOOKUP($C41, Mapping!$C$2:$L$181, 6, FALSE) = 0, "", VLOOKUP($C41, Mapping!$C$2:$L$181, 6, FALSE))</f>
        <v>DbMetaData("Test Head", vTest Head)</v>
      </c>
      <c r="H41" s="30" t="str">
        <f>IF(VLOOKUP($C41, Mapping!$C$2:$L$181, 7, FALSE) = 0, "", VLOOKUP($C41, Mapping!$C$2:$L$181, 7, FALSE))</f>
        <v>op_log linked index 23</v>
      </c>
      <c r="I41" s="30" t="str">
        <f>IF(VLOOKUP($C41, Mapping!$C$2:$L$181, 8, FALSE) = 0, "", VLOOKUP($C41, Mapping!$C$2:$L$181, 8, FALSE))</f>
        <v/>
      </c>
      <c r="J41" s="30" t="str">
        <f>IF(VLOOKUP($C41, Mapping!$C$2:$L$181, 9, FALSE) = 0, "", VLOOKUP($C41, Mapping!$C$2:$L$181, 9, FALSE))</f>
        <v/>
      </c>
      <c r="K41" s="21" t="str">
        <f>IF(VLOOKUP($C41, Mapping!$C$2:$L$181, 10, FALSE) = 0, "", VLOOKUP($C41, Mapping!$C$2:$L$181, 10, FALSE))</f>
        <v/>
      </c>
    </row>
    <row r="42" spans="1:11" x14ac:dyDescent="0.25">
      <c r="A42" s="1" t="s">
        <v>432</v>
      </c>
      <c r="B42" s="4" t="s">
        <v>435</v>
      </c>
      <c r="C42" s="20" t="str">
        <f t="shared" ref="C42:C43" si="3">IF(NOT(ISBLANK(B42)),_xlfn.CONCAT(A42,"[",B42,"]"),"")</f>
        <v>DwPlm[WFR_FAB_MASK]</v>
      </c>
      <c r="D42" s="20" t="str">
        <f>IF(VLOOKUP($C42, Mapping!$C$2:$L$181, 2, FALSE) = 0, "", VLOOKUP($C42, Mapping!$C$2:$L$181, 2, FALSE))</f>
        <v>ProductCode</v>
      </c>
      <c r="E42" s="20" t="str">
        <f>IF(VLOOKUP($C42, Mapping!$C$2:$L$181, 3, FALSE) = 0, "", VLOOKUP($C42, Mapping!$C$2:$L$181, 3, FALSE))</f>
        <v/>
      </c>
      <c r="F42" s="20" t="str">
        <f>IF(VLOOKUP($C42, Mapping!$C$2:$L$181, 4, FALSE) = 0, "", VLOOKUP($C42, Mapping!$C$2:$L$181, 4, FALSE))</f>
        <v>Product Code</v>
      </c>
      <c r="G42" s="20" t="str">
        <f>IF(VLOOKUP($C42, Mapping!$C$2:$L$181, 6, FALSE) = 0, "", VLOOKUP($C42, Mapping!$C$2:$L$181, 6, FALSE))</f>
        <v>DbMetaData("Product Code", vProductCode)</v>
      </c>
      <c r="H42" s="30" t="str">
        <f>IF(VLOOKUP($C42, Mapping!$C$2:$L$181, 7, FALSE) = 0, "", VLOOKUP($C42, Mapping!$C$2:$L$181, 7, FALSE))</f>
        <v>op_log linked index 24</v>
      </c>
      <c r="I42" s="30" t="str">
        <f>IF(VLOOKUP($C42, Mapping!$C$2:$L$181, 8, FALSE) = 0, "", VLOOKUP($C42, Mapping!$C$2:$L$181, 8, FALSE))</f>
        <v/>
      </c>
      <c r="J42" s="30" t="str">
        <f>IF(VLOOKUP($C42, Mapping!$C$2:$L$181, 9, FALSE) = 0, "", VLOOKUP($C42, Mapping!$C$2:$L$181, 9, FALSE))</f>
        <v/>
      </c>
      <c r="K42" s="21" t="str">
        <f>IF(VLOOKUP($C42, Mapping!$C$2:$L$181, 10, FALSE) = 0, "", VLOOKUP($C42, Mapping!$C$2:$L$181, 10, FALSE))</f>
        <v>LotG or Agile; Firs 4 chars of WFR_FAB_MASK_CONFIG_ID + : + PART_ID</v>
      </c>
    </row>
    <row r="43" spans="1:11" x14ac:dyDescent="0.25">
      <c r="A43" s="11"/>
      <c r="B43" s="4" t="s">
        <v>308</v>
      </c>
      <c r="C43" s="20" t="str">
        <f t="shared" si="3"/>
        <v>[Card Lens Module]</v>
      </c>
      <c r="D43" s="20" t="str">
        <f>IF(VLOOKUP($C43, Mapping!$C$2:$L$181, 2, FALSE) = 0, "", VLOOKUP($C43, Mapping!$C$2:$L$181, 2, FALSE))</f>
        <v/>
      </c>
      <c r="E43" s="20" t="str">
        <f>IF(VLOOKUP($C43, Mapping!$C$2:$L$181, 3, FALSE) = 0, "", VLOOKUP($C43, Mapping!$C$2:$L$181, 3, FALSE))</f>
        <v/>
      </c>
      <c r="F43" s="20" t="str">
        <f>IF(VLOOKUP($C43, Mapping!$C$2:$L$181, 4, FALSE) = 0, "", VLOOKUP($C43, Mapping!$C$2:$L$181, 4, FALSE))</f>
        <v>Card Lens Module</v>
      </c>
      <c r="G43" s="20" t="str">
        <f>IF(VLOOKUP($C43, Mapping!$C$2:$L$181, 6, FALSE) = 0, "", VLOOKUP($C43, Mapping!$C$2:$L$181, 6, FALSE))</f>
        <v>DbMetaData("Card Lens Module", vCardLensModule)</v>
      </c>
      <c r="H43" s="30" t="str">
        <f>IF(VLOOKUP($C43, Mapping!$C$2:$L$181, 7, FALSE) = 0, "", VLOOKUP($C43, Mapping!$C$2:$L$181, 7, FALSE))</f>
        <v>op_log linked index 25</v>
      </c>
      <c r="I43" s="30" t="str">
        <f>IF(VLOOKUP($C43, Mapping!$C$2:$L$181, 8, FALSE) = 0, "", VLOOKUP($C43, Mapping!$C$2:$L$181, 8, FALSE))</f>
        <v/>
      </c>
      <c r="J43" s="30" t="str">
        <f>IF(VLOOKUP($C43, Mapping!$C$2:$L$181, 9, FALSE) = 0, "", VLOOKUP($C43, Mapping!$C$2:$L$181, 9, FALSE))</f>
        <v/>
      </c>
      <c r="K43" s="21" t="str">
        <f>IF(VLOOKUP($C43, Mapping!$C$2:$L$181, 10, FALSE) = 0, "", VLOOKUP($C43, Mapping!$C$2:$L$181, 10, FALSE))</f>
        <v>NULL, ISG specific</v>
      </c>
    </row>
    <row r="44" spans="1:11" x14ac:dyDescent="0.25">
      <c r="A44" s="11"/>
      <c r="B44" s="4" t="s">
        <v>309</v>
      </c>
      <c r="C44" s="20" t="str">
        <f>IF(NOT(ISBLANK(B44)),_xlfn.CONCAT(A44,"[",B44,"]"),"")</f>
        <v>[Subcon Product]</v>
      </c>
      <c r="D44" s="20" t="str">
        <f>IF(VLOOKUP($C44, Mapping!$C$2:$L$181, 2, FALSE) = 0, "", VLOOKUP($C44, Mapping!$C$2:$L$181, 2, FALSE))</f>
        <v>SubconProduct</v>
      </c>
      <c r="E44" s="20" t="str">
        <f>IF(VLOOKUP($C44, Mapping!$C$2:$L$181, 3, FALSE) = 0, "", VLOOKUP($C44, Mapping!$C$2:$L$181, 3, FALSE))</f>
        <v/>
      </c>
      <c r="F44" s="20" t="str">
        <f>IF(VLOOKUP($C44, Mapping!$C$2:$L$181, 4, FALSE) = 0, "", VLOOKUP($C44, Mapping!$C$2:$L$181, 4, FALSE))</f>
        <v>Subcon Product</v>
      </c>
      <c r="G44" s="20" t="str">
        <f>IF(VLOOKUP($C44, Mapping!$C$2:$L$181, 6, FALSE) = 0, "", VLOOKUP($C44, Mapping!$C$2:$L$181, 6, FALSE))</f>
        <v>DbMetaData("Subcon Product", vSubconProduct)</v>
      </c>
      <c r="H44" s="30" t="str">
        <f>IF(VLOOKUP($C44, Mapping!$C$2:$L$181, 7, FALSE) = 0, "", VLOOKUP($C44, Mapping!$C$2:$L$181, 7, FALSE))</f>
        <v>op_log linked index 27</v>
      </c>
      <c r="I44" s="30" t="str">
        <f>IF(VLOOKUP($C44, Mapping!$C$2:$L$181, 8, FALSE) = 0, "", VLOOKUP($C44, Mapping!$C$2:$L$181, 8, FALSE))</f>
        <v/>
      </c>
      <c r="J44" s="30" t="str">
        <f>IF(VLOOKUP($C44, Mapping!$C$2:$L$181, 9, FALSE) = 0, "", VLOOKUP($C44, Mapping!$C$2:$L$181, 9, FALSE))</f>
        <v/>
      </c>
      <c r="K44" s="21" t="str">
        <f>IF(VLOOKUP($C44, Mapping!$C$2:$L$181, 10, FALSE) = 0, "", VLOOKUP($C44, Mapping!$C$2:$L$181, 10, FALSE))</f>
        <v/>
      </c>
    </row>
  </sheetData>
  <conditionalFormatting sqref="E2:F44">
    <cfRule type="containsBlanks" dxfId="33" priority="8">
      <formula>LEN(TRIM(E2))=0</formula>
    </cfRule>
  </conditionalFormatting>
  <conditionalFormatting sqref="J2:J44">
    <cfRule type="expression" dxfId="32" priority="32">
      <formula>OR(ISBLANK(G2), AND(ISBLANK(J2), NOT(LEFT(TRIM(G2), 6)="op_log")))</formula>
    </cfRule>
  </conditionalFormatting>
  <conditionalFormatting sqref="G2:I44">
    <cfRule type="expression" dxfId="31" priority="34">
      <formula>OR(ISBLANK(E2), AND(ISBLANK(G2), NOT(LEFT(TRIM(E2), 6)="op_log")))</formula>
    </cfRule>
  </conditionalFormatting>
  <conditionalFormatting sqref="C2">
    <cfRule type="duplicateValues" dxfId="30" priority="11"/>
  </conditionalFormatting>
  <conditionalFormatting sqref="B41">
    <cfRule type="containsBlanks" dxfId="29" priority="35">
      <formula>LEN(TRIM(B41))=0</formula>
    </cfRule>
  </conditionalFormatting>
  <conditionalFormatting sqref="B43">
    <cfRule type="containsBlanks" dxfId="28" priority="5">
      <formula>LEN(TRIM(B43))=0</formula>
    </cfRule>
  </conditionalFormatting>
  <conditionalFormatting sqref="B44">
    <cfRule type="containsBlanks" dxfId="27" priority="4">
      <formula>LEN(TRIM(B44))=0</formula>
    </cfRule>
  </conditionalFormatting>
  <conditionalFormatting sqref="B14:B24">
    <cfRule type="containsBlanks" dxfId="26" priority="3">
      <formula>LEN(TRIM(B14))=0</formula>
    </cfRule>
  </conditionalFormatting>
  <conditionalFormatting sqref="B2:B13">
    <cfRule type="containsBlanks" dxfId="25" priority="2">
      <formula>LEN(TRIM(B2))=0</formula>
    </cfRule>
  </conditionalFormatting>
  <conditionalFormatting sqref="D1:D43">
    <cfRule type="containsBlanks" dxfId="24" priority="1">
      <formula>LEN(TRIM(D1))=0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2"/>
  <sheetViews>
    <sheetView tabSelected="1" workbookViewId="0">
      <selection activeCell="F3" sqref="F3"/>
    </sheetView>
  </sheetViews>
  <sheetFormatPr defaultRowHeight="15" x14ac:dyDescent="0.25"/>
  <cols>
    <col min="1" max="1" width="43.85546875" bestFit="1" customWidth="1"/>
    <col min="2" max="2" width="30.140625" bestFit="1" customWidth="1"/>
    <col min="3" max="3" width="27.140625" customWidth="1"/>
    <col min="4" max="4" width="60.5703125" bestFit="1" customWidth="1"/>
    <col min="5" max="5" width="51.5703125" bestFit="1" customWidth="1"/>
    <col min="6" max="6" width="22.5703125" bestFit="1" customWidth="1"/>
    <col min="7" max="7" width="20.140625" customWidth="1"/>
    <col min="8" max="8" width="78.5703125" bestFit="1" customWidth="1"/>
    <col min="9" max="9" width="25.5703125" customWidth="1"/>
  </cols>
  <sheetData>
    <row r="1" spans="1:8" x14ac:dyDescent="0.25">
      <c r="A1" t="s">
        <v>63</v>
      </c>
      <c r="B1" t="s">
        <v>444</v>
      </c>
      <c r="C1" t="s">
        <v>44</v>
      </c>
      <c r="D1" t="s">
        <v>65</v>
      </c>
      <c r="E1" t="s">
        <v>389</v>
      </c>
      <c r="F1" s="1" t="s">
        <v>68</v>
      </c>
      <c r="G1" t="s">
        <v>388</v>
      </c>
      <c r="H1" t="s">
        <v>150</v>
      </c>
    </row>
    <row r="2" spans="1:8" x14ac:dyDescent="0.25">
      <c r="A2" s="1" t="s">
        <v>161</v>
      </c>
      <c r="B2" s="1" t="str">
        <f>IFERROR(IF(INDEX(Mapping!$G$2:$G$181,MATCH($A2,Mapping!$F$2:$F$181,0)) = 0, IF(INDEX(Mapping!$I$2:$I$181,MATCH($A2,Mapping!$F$2:$F$181,0)) = 0, $A2, INDEX(Mapping!$I$2:$I$181,MATCH($A2,Mapping!$F$2:$F$181,0))), INDEX(Mapping!$G$2:$G$181,MATCH($A2,Mapping!$F$2:$F$181,0))), "")</f>
        <v>Bank Lot</v>
      </c>
      <c r="C2" s="1" t="str">
        <f>IFERROR(IF(INDEX(Mapping!$I$2:$I$181,MATCH($A2,Mapping!$F$2:$F$181,0)) = 0, "Metadata", INDEX(Mapping!$I$2:$I$181,MATCH($A2,Mapping!$F$2:$F$181,0))), "")</f>
        <v>Metadata</v>
      </c>
      <c r="D2" s="1" t="str">
        <f>IFERROR(IF(INDEX(Mapping!$H$2:$H$181,MATCH($A2,Mapping!$F$2:$F$181,0)) = 0, "", INDEX(Mapping!$H$2:$H$181,MATCH($A2,Mapping!$F$2:$F$181,0))), "")</f>
        <v/>
      </c>
      <c r="E2" s="1" t="str">
        <f>IFERROR(IF(INDEX(Mapping!$C$2:$C$181,MATCH($A2,Mapping!$F$2:$F$181,0)) = 0, "", INDEX(Mapping!$C$2:$C$181,MATCH($A2,Mapping!$F$2:$F$181,0))), "")</f>
        <v>LotG/SourceLot/Lot[Bank]</v>
      </c>
      <c r="F2" s="1" t="str">
        <f>IFERROR(IF(INDEX(Mapping!$D$2:$D$181,MATCH($A2,Mapping!$F$2:$F$181,0)) = 0, "", INDEX(Mapping!$D$2:$D$181,MATCH($A2,Mapping!$F$2:$F$181,0))), "")</f>
        <v/>
      </c>
      <c r="G2" s="1" t="str">
        <f>IFERROR(IF(INDEX(Mapping!$E$2:$E$181,MATCH($A2,Mapping!$F$2:$F$181,0)) = 0, "", INDEX(Mapping!$E$2:$E$181,MATCH($A2,Mapping!$F$2:$F$181,0))), "")</f>
        <v/>
      </c>
      <c r="H2" s="1" t="s">
        <v>438</v>
      </c>
    </row>
    <row r="3" spans="1:8" x14ac:dyDescent="0.25">
      <c r="A3" s="1" t="s">
        <v>82</v>
      </c>
      <c r="B3" s="1" t="str">
        <f>IFERROR(IF(INDEX(Mapping!$G$2:$G$181,MATCH($A3,Mapping!$F$2:$F$181,0)) = 0, IF(INDEX(Mapping!$I$2:$I$181,MATCH($A3,Mapping!$F$2:$F$181,0)) = 0, $A3, INDEX(Mapping!$I$2:$I$181,MATCH($A3,Mapping!$F$2:$F$181,0))), INDEX(Mapping!$G$2:$G$181,MATCH($A3,Mapping!$F$2:$F$181,0))), "")</f>
        <v>Source Fab</v>
      </c>
      <c r="C3" s="1" t="str">
        <f>IFERROR(IF(INDEX(Mapping!$I$2:$I$181,MATCH($A3,Mapping!$F$2:$F$181,0)) = 0, "Metadata", INDEX(Mapping!$I$2:$I$181,MATCH($A3,Mapping!$F$2:$F$181,0))), "")</f>
        <v>Metadata</v>
      </c>
      <c r="D3" s="1" t="str">
        <f>IFERROR(IF(INDEX(Mapping!$H$2:$H$181,MATCH($A3,Mapping!$F$2:$F$181,0)) = 0, "", INDEX(Mapping!$H$2:$H$181,MATCH($A3,Mapping!$F$2:$F$181,0))), "")</f>
        <v>vDbFab</v>
      </c>
      <c r="E3" s="1" t="str">
        <f>IFERROR(IF(INDEX(Mapping!$C$2:$C$181,MATCH($A3,Mapping!$F$2:$F$181,0)) = 0, "", INDEX(Mapping!$C$2:$C$181,MATCH($A3,Mapping!$F$2:$F$181,0))), "")</f>
        <v>LotG/SourceLot/Lot[Fab]</v>
      </c>
      <c r="F3" s="1" t="str">
        <f>IFERROR(IF(INDEX(Mapping!$D$2:$D$181,MATCH($A3,Mapping!$F$2:$F$181,0)) = 0, "", INDEX(Mapping!$D$2:$D$181,MATCH($A3,Mapping!$F$2:$F$181,0))), "")</f>
        <v>Fab</v>
      </c>
      <c r="G3" s="1" t="str">
        <f>IFERROR(IF(INDEX(Mapping!$E$2:$E$181,MATCH($A3,Mapping!$F$2:$F$181,0)) = 0, "", INDEX(Mapping!$E$2:$E$181,MATCH($A3,Mapping!$F$2:$F$181,0))), "")</f>
        <v/>
      </c>
      <c r="H3" s="1"/>
    </row>
    <row r="4" spans="1:8" x14ac:dyDescent="0.25">
      <c r="A4" s="1" t="s">
        <v>94</v>
      </c>
      <c r="B4" s="1" t="str">
        <f>IFERROR(IF(INDEX(Mapping!$G$2:$G$181,MATCH($A4,Mapping!$F$2:$F$181,0)) = 0, IF(INDEX(Mapping!$I$2:$I$181,MATCH($A4,Mapping!$F$2:$F$181,0)) = 0, $A4, INDEX(Mapping!$I$2:$I$181,MATCH($A4,Mapping!$F$2:$F$181,0))), INDEX(Mapping!$G$2:$G$181,MATCH($A4,Mapping!$F$2:$F$181,0))), "")</f>
        <v>lot class</v>
      </c>
      <c r="C4" s="1" t="str">
        <f>IFERROR(IF(INDEX(Mapping!$I$2:$I$181,MATCH($A4,Mapping!$F$2:$F$181,0)) = 0, "Metadata", INDEX(Mapping!$I$2:$I$181,MATCH($A4,Mapping!$F$2:$F$181,0))), "")</f>
        <v>lot class</v>
      </c>
      <c r="D4" s="1" t="str">
        <f>IFERROR(IF(INDEX(Mapping!$H$2:$H$181,MATCH($A4,Mapping!$F$2:$F$181,0)) = 0, "", INDEX(Mapping!$H$2:$H$181,MATCH($A4,Mapping!$F$2:$F$181,0))), "")</f>
        <v>vDbLotClass</v>
      </c>
      <c r="E4" s="1" t="str">
        <f>IFERROR(IF(INDEX(Mapping!$C$2:$C$181,MATCH($A4,Mapping!$F$2:$F$181,0)) = 0, "", INDEX(Mapping!$C$2:$C$181,MATCH($A4,Mapping!$F$2:$F$181,0))), "")</f>
        <v>LotG/SourceLot/Lot[LotClass]</v>
      </c>
      <c r="F4" s="1" t="str">
        <f>IFERROR(IF(INDEX(Mapping!$D$2:$D$181,MATCH($A4,Mapping!$F$2:$F$181,0)) = 0, "", INDEX(Mapping!$D$2:$D$181,MATCH($A4,Mapping!$F$2:$F$181,0))), "")</f>
        <v>LotClass</v>
      </c>
      <c r="G4" s="1" t="str">
        <f>IFERROR(IF(INDEX(Mapping!$E$2:$E$181,MATCH($A4,Mapping!$F$2:$F$181,0)) = 0, "", INDEX(Mapping!$E$2:$E$181,MATCH($A4,Mapping!$F$2:$F$181,0))), "")</f>
        <v/>
      </c>
      <c r="H4" s="1"/>
    </row>
    <row r="5" spans="1:8" x14ac:dyDescent="0.25">
      <c r="A5" s="1" t="s">
        <v>66</v>
      </c>
      <c r="B5" s="1" t="str">
        <f>IFERROR(IF(INDEX(Mapping!$G$2:$G$181,MATCH($A5,Mapping!$F$2:$F$181,0)) = 0, IF(INDEX(Mapping!$I$2:$I$181,MATCH($A5,Mapping!$F$2:$F$181,0)) = 0, $A5, INDEX(Mapping!$I$2:$I$181,MATCH($A5,Mapping!$F$2:$F$181,0))), INDEX(Mapping!$G$2:$G$181,MATCH($A5,Mapping!$F$2:$F$181,0))), "")</f>
        <v>MES Product ID / Mfg part #</v>
      </c>
      <c r="C5" s="1" t="str">
        <f>IFERROR(IF(INDEX(Mapping!$I$2:$I$181,MATCH($A5,Mapping!$F$2:$F$181,0)) = 0, "Metadata", INDEX(Mapping!$I$2:$I$181,MATCH($A5,Mapping!$F$2:$F$181,0))), "")</f>
        <v>Metadata</v>
      </c>
      <c r="D5" s="1" t="str">
        <f>IFERROR(IF(INDEX(Mapping!$H$2:$H$181,MATCH($A5,Mapping!$F$2:$F$181,0)) = 0, "", INDEX(Mapping!$H$2:$H$181,MATCH($A5,Mapping!$F$2:$F$181,0))), "")</f>
        <v>vDbProduct</v>
      </c>
      <c r="E5" s="1" t="str">
        <f>IFERROR(IF(INDEX(Mapping!$C$2:$C$181,MATCH($A5,Mapping!$F$2:$F$181,0)) = 0, "", INDEX(Mapping!$C$2:$C$181,MATCH($A5,Mapping!$F$2:$F$181,0))), "")</f>
        <v>LotG/SourceLot/Lot[WaferPart]</v>
      </c>
      <c r="F5" s="1" t="str">
        <f>IFERROR(IF(INDEX(Mapping!$D$2:$D$181,MATCH($A5,Mapping!$F$2:$F$181,0)) = 0, "", INDEX(Mapping!$D$2:$D$181,MATCH($A5,Mapping!$F$2:$F$181,0))), "")</f>
        <v>Product</v>
      </c>
      <c r="G5" s="1" t="str">
        <f>IFERROR(IF(INDEX(Mapping!$E$2:$E$181,MATCH($A5,Mapping!$F$2:$F$181,0)) = 0, "", INDEX(Mapping!$E$2:$E$181,MATCH($A5,Mapping!$F$2:$F$181,0))), "")</f>
        <v/>
      </c>
      <c r="H5" s="1"/>
    </row>
    <row r="6" spans="1:8" x14ac:dyDescent="0.25">
      <c r="A6" s="1" t="s">
        <v>279</v>
      </c>
      <c r="B6" s="1" t="str">
        <f>IFERROR(IF(INDEX(Mapping!$G$2:$G$181,MATCH($A6,Mapping!$F$2:$F$181,0)) = 0, IF(INDEX(Mapping!$I$2:$I$181,MATCH($A6,Mapping!$F$2:$F$181,0)) = 0, $A6, INDEX(Mapping!$I$2:$I$181,MATCH($A6,Mapping!$F$2:$F$181,0))), INDEX(Mapping!$G$2:$G$181,MATCH($A6,Mapping!$F$2:$F$181,0))), "")</f>
        <v>op_log linked index 26</v>
      </c>
      <c r="C6" s="1" t="str">
        <f>IFERROR(IF(INDEX(Mapping!$I$2:$I$181,MATCH($A6,Mapping!$F$2:$F$181,0)) = 0, "Metadata", INDEX(Mapping!$I$2:$I$181,MATCH($A6,Mapping!$F$2:$F$181,0))), "")</f>
        <v>op_log linked index 26</v>
      </c>
      <c r="D6" s="1" t="str">
        <f>IFERROR(IF(INDEX(Mapping!$H$2:$H$181,MATCH($A6,Mapping!$F$2:$F$181,0)) = 0, "", INDEX(Mapping!$H$2:$H$181,MATCH($A6,Mapping!$F$2:$F$181,0))), "")</f>
        <v>DbMetaData("Subcon lot id", vvSubconLotId)</v>
      </c>
      <c r="E6" s="1" t="str">
        <f>IFERROR(IF(INDEX(Mapping!$C$2:$C$181,MATCH($A6,Mapping!$F$2:$F$181,0)) = 0, "", INDEX(Mapping!$C$2:$C$181,MATCH($A6,Mapping!$F$2:$F$181,0))), "")</f>
        <v>LotG/SourceLot/Lot[LotNumber]</v>
      </c>
      <c r="F6" s="1" t="str">
        <f>IFERROR(IF(INDEX(Mapping!$D$2:$D$181,MATCH($A6,Mapping!$F$2:$F$181,0)) = 0, "", INDEX(Mapping!$D$2:$D$181,MATCH($A6,Mapping!$F$2:$F$181,0))), "")</f>
        <v>SubconLotId</v>
      </c>
      <c r="G6" s="1" t="str">
        <f>IFERROR(IF(INDEX(Mapping!$E$2:$E$181,MATCH($A6,Mapping!$F$2:$F$181,0)) = 0, "", INDEX(Mapping!$E$2:$E$181,MATCH($A6,Mapping!$F$2:$F$181,0))), "")</f>
        <v/>
      </c>
      <c r="H6" s="1" t="s">
        <v>438</v>
      </c>
    </row>
    <row r="7" spans="1:8" x14ac:dyDescent="0.25">
      <c r="A7" s="1" t="s">
        <v>280</v>
      </c>
      <c r="B7" s="1" t="str">
        <f>IFERROR(IF(INDEX(Mapping!$G$2:$G$181,MATCH($A7,Mapping!$F$2:$F$181,0)) = 0, IF(INDEX(Mapping!$I$2:$I$181,MATCH($A7,Mapping!$F$2:$F$181,0)) = 0, $A7, INDEX(Mapping!$I$2:$I$181,MATCH($A7,Mapping!$F$2:$F$181,0))), INDEX(Mapping!$G$2:$G$181,MATCH($A7,Mapping!$F$2:$F$181,0))), "")</f>
        <v>Equip[6]</v>
      </c>
      <c r="C7" s="1" t="str">
        <f>IFERROR(IF(INDEX(Mapping!$I$2:$I$181,MATCH($A7,Mapping!$F$2:$F$181,0)) = 0, "Metadata", INDEX(Mapping!$I$2:$I$181,MATCH($A7,Mapping!$F$2:$F$181,0))), "")</f>
        <v>Equip[6]</v>
      </c>
      <c r="D7" s="1" t="str">
        <f>IFERROR(IF(INDEX(Mapping!$H$2:$H$181,MATCH($A7,Mapping!$F$2:$F$181,0)) = 0, "", INDEX(Mapping!$H$2:$H$181,MATCH($A7,Mapping!$F$2:$F$181,0))), "")</f>
        <v>vDbEquip6</v>
      </c>
      <c r="E7" s="1" t="str">
        <f>IFERROR(IF(INDEX(Mapping!$C$2:$C$181,MATCH($A7,Mapping!$F$2:$F$181,0)) = 0, "", INDEX(Mapping!$C$2:$C$181,MATCH($A7,Mapping!$F$2:$F$181,0))), "")</f>
        <v>DataPort[TestFacility]</v>
      </c>
      <c r="F7" s="1" t="str">
        <f>IFERROR(IF(INDEX(Mapping!$D$2:$D$181,MATCH($A7,Mapping!$F$2:$F$181,0)) = 0, "", INDEX(Mapping!$D$2:$D$181,MATCH($A7,Mapping!$F$2:$F$181,0))), "")</f>
        <v>TestFacility</v>
      </c>
      <c r="G7" s="1" t="str">
        <f>IFERROR(IF(INDEX(Mapping!$E$2:$E$181,MATCH($A7,Mapping!$F$2:$F$181,0)) = 0, "", INDEX(Mapping!$E$2:$E$181,MATCH($A7,Mapping!$F$2:$F$181,0))), "")</f>
        <v/>
      </c>
      <c r="H7" s="1"/>
    </row>
    <row r="8" spans="1:8" x14ac:dyDescent="0.25">
      <c r="A8" s="1" t="s">
        <v>445</v>
      </c>
      <c r="B8" s="1" t="str">
        <f>IFERROR(IF(INDEX(Mapping!$G$2:$G$181,MATCH($A8,Mapping!$F$2:$F$181,0)) = 0, IF(INDEX(Mapping!$I$2:$I$181,MATCH($A8,Mapping!$F$2:$F$181,0)) = 0, $A8, INDEX(Mapping!$I$2:$I$181,MATCH($A8,Mapping!$F$2:$F$181,0))), INDEX(Mapping!$G$2:$G$181,MATCH($A8,Mapping!$F$2:$F$181,0))), "")</f>
        <v>op_log linked index 3</v>
      </c>
      <c r="C8" s="1" t="str">
        <f>IFERROR(IF(INDEX(Mapping!$I$2:$I$181,MATCH($A8,Mapping!$F$2:$F$181,0)) = 0, "Metadata", INDEX(Mapping!$I$2:$I$181,MATCH($A8,Mapping!$F$2:$F$181,0))), "")</f>
        <v>op_log linked index 3</v>
      </c>
      <c r="D8" s="1" t="str">
        <f>IFERROR(IF(INDEX(Mapping!$H$2:$H$181,MATCH($A8,Mapping!$F$2:$F$181,0)) = 0, "", INDEX(Mapping!$H$2:$H$181,MATCH($A8,Mapping!$F$2:$F$181,0))), "")</f>
        <v>DbMetaData("Data File Name", vFileName)</v>
      </c>
      <c r="E8" s="1" t="str">
        <f>IFERROR(IF(INDEX(Mapping!$C$2:$C$181,MATCH($A8,Mapping!$F$2:$F$181,0)) = 0, "", INDEX(Mapping!$C$2:$C$181,MATCH($A8,Mapping!$F$2:$F$181,0))), "")</f>
        <v>File[FileName]</v>
      </c>
      <c r="F8" s="1" t="str">
        <f>IFERROR(IF(INDEX(Mapping!$D$2:$D$181,MATCH($A8,Mapping!$F$2:$F$181,0)) = 0, "", INDEX(Mapping!$D$2:$D$181,MATCH($A8,Mapping!$F$2:$F$181,0))), "")</f>
        <v>DataFileName</v>
      </c>
      <c r="G8" s="1" t="str">
        <f>IFERROR(IF(INDEX(Mapping!$E$2:$E$181,MATCH($A8,Mapping!$F$2:$F$181,0)) = 0, "", INDEX(Mapping!$E$2:$E$181,MATCH($A8,Mapping!$F$2:$F$181,0))), "")</f>
        <v/>
      </c>
      <c r="H8" s="39"/>
    </row>
    <row r="9" spans="1:8" x14ac:dyDescent="0.25">
      <c r="A9" s="1" t="s">
        <v>281</v>
      </c>
      <c r="B9" s="1" t="str">
        <f>IFERROR(IF(INDEX(Mapping!$G$2:$G$181,MATCH($A9,Mapping!$F$2:$F$181,0)) = 0, IF(INDEX(Mapping!$I$2:$I$181,MATCH($A9,Mapping!$F$2:$F$181,0)) = 0, $A9, INDEX(Mapping!$I$2:$I$181,MATCH($A9,Mapping!$F$2:$F$181,0))), INDEX(Mapping!$G$2:$G$181,MATCH($A9,Mapping!$F$2:$F$181,0))), "")</f>
        <v>op_log linked index 6</v>
      </c>
      <c r="C9" s="1" t="str">
        <f>IFERROR(IF(INDEX(Mapping!$I$2:$I$181,MATCH($A9,Mapping!$F$2:$F$181,0)) = 0, "Metadata", INDEX(Mapping!$I$2:$I$181,MATCH($A9,Mapping!$F$2:$F$181,0))), "")</f>
        <v>op_log linked index 6</v>
      </c>
      <c r="D9" s="1" t="str">
        <f>IFERROR(IF(INDEX(Mapping!$H$2:$H$181,MATCH($A9,Mapping!$F$2:$F$181,0)) = 0, "", INDEX(Mapping!$H$2:$H$181,MATCH($A9,Mapping!$F$2:$F$181,0))), "")</f>
        <v>DbMetaData("Tester Host Name", vTesterHostName)</v>
      </c>
      <c r="E9" s="1" t="str">
        <f>IFERROR(IF(INDEX(Mapping!$C$2:$C$181,MATCH($A9,Mapping!$F$2:$F$181,0)) = 0, "", INDEX(Mapping!$C$2:$C$181,MATCH($A9,Mapping!$F$2:$F$181,0))), "")</f>
        <v>File/Lot[NodeName]</v>
      </c>
      <c r="F9" s="1" t="str">
        <f>IFERROR(IF(INDEX(Mapping!$D$2:$D$181,MATCH($A9,Mapping!$F$2:$F$181,0)) = 0, "", INDEX(Mapping!$D$2:$D$181,MATCH($A9,Mapping!$F$2:$F$181,0))), "")</f>
        <v>TesterHostName</v>
      </c>
      <c r="G9" s="1" t="str">
        <f>IFERROR(IF(INDEX(Mapping!$E$2:$E$181,MATCH($A9,Mapping!$F$2:$F$181,0)) = 0, "", INDEX(Mapping!$E$2:$E$181,MATCH($A9,Mapping!$F$2:$F$181,0))), "")</f>
        <v>MIR.NODE_NAM</v>
      </c>
      <c r="H9" s="1" t="s">
        <v>438</v>
      </c>
    </row>
    <row r="10" spans="1:8" x14ac:dyDescent="0.25">
      <c r="A10" s="1" t="s">
        <v>153</v>
      </c>
      <c r="B10" s="1" t="str">
        <f>IFERROR(IF(INDEX(Mapping!$G$2:$G$181,MATCH($A10,Mapping!$F$2:$F$181,0)) = 0, IF(INDEX(Mapping!$I$2:$I$181,MATCH($A10,Mapping!$F$2:$F$181,0)) = 0, $A10, INDEX(Mapping!$I$2:$I$181,MATCH($A10,Mapping!$F$2:$F$181,0))), INDEX(Mapping!$G$2:$G$181,MATCH($A10,Mapping!$F$2:$F$181,0))), "")</f>
        <v>Processing Step</v>
      </c>
      <c r="C10" s="1" t="str">
        <f>IFERROR(IF(INDEX(Mapping!$I$2:$I$181,MATCH($A10,Mapping!$F$2:$F$181,0)) = 0, "Metadata", INDEX(Mapping!$I$2:$I$181,MATCH($A10,Mapping!$F$2:$F$181,0))), "")</f>
        <v>Metadata</v>
      </c>
      <c r="D10" s="1" t="str">
        <f>IFERROR(IF(INDEX(Mapping!$H$2:$H$181,MATCH($A10,Mapping!$F$2:$F$181,0)) = 0, "", INDEX(Mapping!$H$2:$H$181,MATCH($A10,Mapping!$F$2:$F$181,0))), "")</f>
        <v>vDbStep</v>
      </c>
      <c r="E10" s="1" t="str">
        <f>IFERROR(IF(INDEX(Mapping!$C$2:$C$181,MATCH($A10,Mapping!$F$2:$F$181,0)) = 0, "", INDEX(Mapping!$C$2:$C$181,MATCH($A10,Mapping!$F$2:$F$181,0))), "")</f>
        <v>File/Lot[TestCode]</v>
      </c>
      <c r="F10" s="1" t="str">
        <f>IFERROR(IF(INDEX(Mapping!$D$2:$D$181,MATCH($A10,Mapping!$F$2:$F$181,0)) = 0, "", INDEX(Mapping!$D$2:$D$181,MATCH($A10,Mapping!$F$2:$F$181,0))), "")</f>
        <v>ProcessingStep</v>
      </c>
      <c r="G10" s="1" t="str">
        <f>IFERROR(IF(INDEX(Mapping!$E$2:$E$181,MATCH($A10,Mapping!$F$2:$F$181,0)) = 0, "", INDEX(Mapping!$E$2:$E$181,MATCH($A10,Mapping!$F$2:$F$181,0))), "")</f>
        <v>MIR.TEST_COD</v>
      </c>
      <c r="H10" s="1"/>
    </row>
    <row r="11" spans="1:8" x14ac:dyDescent="0.25">
      <c r="A11" s="1" t="s">
        <v>156</v>
      </c>
      <c r="B11" s="1" t="str">
        <f>IFERROR(IF(INDEX(Mapping!$G$2:$G$181,MATCH($A11,Mapping!$F$2:$F$181,0)) = 0, IF(INDEX(Mapping!$I$2:$I$181,MATCH($A11,Mapping!$F$2:$F$181,0)) = 0, $A11, INDEX(Mapping!$I$2:$I$181,MATCH($A11,Mapping!$F$2:$F$181,0))), INDEX(Mapping!$G$2:$G$181,MATCH($A11,Mapping!$F$2:$F$181,0))), "")</f>
        <v>Recipe</v>
      </c>
      <c r="C11" s="1" t="str">
        <f>IFERROR(IF(INDEX(Mapping!$I$2:$I$181,MATCH($A11,Mapping!$F$2:$F$181,0)) = 0, "Metadata", INDEX(Mapping!$I$2:$I$181,MATCH($A11,Mapping!$F$2:$F$181,0))), "")</f>
        <v>Metadata</v>
      </c>
      <c r="D11" s="1" t="str">
        <f>IFERROR(IF(INDEX(Mapping!$H$2:$H$181,MATCH($A11,Mapping!$F$2:$F$181,0)) = 0, "", INDEX(Mapping!$H$2:$H$181,MATCH($A11,Mapping!$F$2:$F$181,0))), "")</f>
        <v>vDbRecipe</v>
      </c>
      <c r="E11" s="1" t="str">
        <f>IFERROR(IF(INDEX(Mapping!$C$2:$C$181,MATCH($A11,Mapping!$F$2:$F$181,0)) = 0, "", INDEX(Mapping!$C$2:$C$181,MATCH($A11,Mapping!$F$2:$F$181,0))), "")</f>
        <v>File/Lot[JobName]</v>
      </c>
      <c r="F11" s="1" t="str">
        <f>IFERROR(IF(INDEX(Mapping!$D$2:$D$181,MATCH($A11,Mapping!$F$2:$F$181,0)) = 0, "", INDEX(Mapping!$D$2:$D$181,MATCH($A11,Mapping!$F$2:$F$181,0))), "")</f>
        <v>Recipe</v>
      </c>
      <c r="G11" s="1" t="str">
        <f>IFERROR(IF(INDEX(Mapping!$E$2:$E$181,MATCH($A11,Mapping!$F$2:$F$181,0)) = 0, "", INDEX(Mapping!$E$2:$E$181,MATCH($A11,Mapping!$F$2:$F$181,0))), "")</f>
        <v>MIR.JOB_NAM</v>
      </c>
      <c r="H11" s="1"/>
    </row>
    <row r="12" spans="1:8" x14ac:dyDescent="0.25">
      <c r="A12" s="1" t="s">
        <v>152</v>
      </c>
      <c r="B12" s="1" t="str">
        <f>IFERROR(IF(INDEX(Mapping!$G$2:$G$181,MATCH($A12,Mapping!$F$2:$F$181,0)) = 0, IF(INDEX(Mapping!$I$2:$I$181,MATCH($A12,Mapping!$F$2:$F$181,0)) = 0, $A12, INDEX(Mapping!$I$2:$I$181,MATCH($A12,Mapping!$F$2:$F$181,0))), INDEX(Mapping!$G$2:$G$181,MATCH($A12,Mapping!$F$2:$F$181,0))), "")</f>
        <v>Lot ID</v>
      </c>
      <c r="C12" s="1" t="str">
        <f>IFERROR(IF(INDEX(Mapping!$I$2:$I$181,MATCH($A12,Mapping!$F$2:$F$181,0)) = 0, "Metadata", INDEX(Mapping!$I$2:$I$181,MATCH($A12,Mapping!$F$2:$F$181,0))), "")</f>
        <v>Metadata</v>
      </c>
      <c r="D12" s="1" t="str">
        <f>IFERROR(IF(INDEX(Mapping!$H$2:$H$181,MATCH($A12,Mapping!$F$2:$F$181,0)) = 0, "", INDEX(Mapping!$H$2:$H$181,MATCH($A12,Mapping!$F$2:$F$181,0))), "")</f>
        <v>vDbLot</v>
      </c>
      <c r="E12" s="1" t="str">
        <f>IFERROR(IF(INDEX(Mapping!$C$2:$C$181,MATCH($A12,Mapping!$F$2:$F$181,0)) = 0, "", INDEX(Mapping!$C$2:$C$181,MATCH($A12,Mapping!$F$2:$F$181,0))), "")</f>
        <v>File/Lot[LotId]</v>
      </c>
      <c r="F12" s="1" t="str">
        <f>IFERROR(IF(INDEX(Mapping!$D$2:$D$181,MATCH($A12,Mapping!$F$2:$F$181,0)) = 0, "", INDEX(Mapping!$D$2:$D$181,MATCH($A12,Mapping!$F$2:$F$181,0))), "")</f>
        <v>LotId</v>
      </c>
      <c r="G12" s="1" t="str">
        <f>IFERROR(IF(INDEX(Mapping!$E$2:$E$181,MATCH($A12,Mapping!$F$2:$F$181,0)) = 0, "", INDEX(Mapping!$E$2:$E$181,MATCH($A12,Mapping!$F$2:$F$181,0))), "")</f>
        <v>MIR.LOT_ID</v>
      </c>
      <c r="H12" s="1" t="s">
        <v>443</v>
      </c>
    </row>
    <row r="13" spans="1:8" x14ac:dyDescent="0.25">
      <c r="A13" s="1" t="s">
        <v>282</v>
      </c>
      <c r="B13" s="1" t="str">
        <f>IFERROR(IF(INDEX(Mapping!$G$2:$G$181,MATCH($A13,Mapping!$F$2:$F$181,0)) = 0, IF(INDEX(Mapping!$I$2:$I$181,MATCH($A13,Mapping!$F$2:$F$181,0)) = 0, $A13, INDEX(Mapping!$I$2:$I$181,MATCH($A13,Mapping!$F$2:$F$181,0))), INDEX(Mapping!$G$2:$G$181,MATCH($A13,Mapping!$F$2:$F$181,0))), "")</f>
        <v>op_log linked index 5</v>
      </c>
      <c r="C13" s="1" t="str">
        <f>IFERROR(IF(INDEX(Mapping!$I$2:$I$181,MATCH($A13,Mapping!$F$2:$F$181,0)) = 0, "Metadata", INDEX(Mapping!$I$2:$I$181,MATCH($A13,Mapping!$F$2:$F$181,0))), "")</f>
        <v>op_log linked index 5</v>
      </c>
      <c r="D13" s="1" t="str">
        <f>IFERROR(IF(INDEX(Mapping!$H$2:$H$181,MATCH($A13,Mapping!$F$2:$F$181,0)) = 0, "", INDEX(Mapping!$H$2:$H$181,MATCH($A13,Mapping!$F$2:$F$181,0))), "")</f>
        <v>DbMetaData("Temperature", vTemperature)</v>
      </c>
      <c r="E13" s="1" t="str">
        <f>IFERROR(IF(INDEX(Mapping!$C$2:$C$181,MATCH($A13,Mapping!$F$2:$F$181,0)) = 0, "", INDEX(Mapping!$C$2:$C$181,MATCH($A13,Mapping!$F$2:$F$181,0))), "")</f>
        <v>File/Lot[TestTemperature]</v>
      </c>
      <c r="F13" s="1" t="str">
        <f>IFERROR(IF(INDEX(Mapping!$D$2:$D$181,MATCH($A13,Mapping!$F$2:$F$181,0)) = 0, "", INDEX(Mapping!$D$2:$D$181,MATCH($A13,Mapping!$F$2:$F$181,0))), "")</f>
        <v>Temperature</v>
      </c>
      <c r="G13" s="1" t="str">
        <f>IFERROR(IF(INDEX(Mapping!$E$2:$E$181,MATCH($A13,Mapping!$F$2:$F$181,0)) = 0, "", INDEX(Mapping!$E$2:$E$181,MATCH($A13,Mapping!$F$2:$F$181,0))), "")</f>
        <v>MIR.TST_TEMP</v>
      </c>
      <c r="H13" s="1"/>
    </row>
    <row r="14" spans="1:8" x14ac:dyDescent="0.25">
      <c r="A14" s="1" t="s">
        <v>155</v>
      </c>
      <c r="B14" s="1" t="str">
        <f>IFERROR(IF(INDEX(Mapping!$G$2:$G$181,MATCH($A14,Mapping!$F$2:$F$181,0)) = 0, IF(INDEX(Mapping!$I$2:$I$181,MATCH($A14,Mapping!$F$2:$F$181,0)) = 0, $A14, INDEX(Mapping!$I$2:$I$181,MATCH($A14,Mapping!$F$2:$F$181,0))), INDEX(Mapping!$G$2:$G$181,MATCH($A14,Mapping!$F$2:$F$181,0))), "")</f>
        <v>End Time</v>
      </c>
      <c r="C14" s="1" t="str">
        <f>IFERROR(IF(INDEX(Mapping!$I$2:$I$181,MATCH($A14,Mapping!$F$2:$F$181,0)) = 0, "Metadata", INDEX(Mapping!$I$2:$I$181,MATCH($A14,Mapping!$F$2:$F$181,0))), "")</f>
        <v>Metadata</v>
      </c>
      <c r="D14" s="1" t="str">
        <f>IFERROR(IF(INDEX(Mapping!$H$2:$H$181,MATCH($A14,Mapping!$F$2:$F$181,0)) = 0, "", INDEX(Mapping!$H$2:$H$181,MATCH($A14,Mapping!$F$2:$F$181,0))), "")</f>
        <v>vDbEndTime</v>
      </c>
      <c r="E14" s="1" t="str">
        <f>IFERROR(IF(INDEX(Mapping!$C$2:$C$181,MATCH($A14,Mapping!$F$2:$F$181,0)) = 0, "", INDEX(Mapping!$C$2:$C$181,MATCH($A14,Mapping!$F$2:$F$181,0))), "")</f>
        <v>File/Lot[FinishTime]</v>
      </c>
      <c r="F14" s="1" t="str">
        <f>IFERROR(IF(INDEX(Mapping!$D$2:$D$181,MATCH($A14,Mapping!$F$2:$F$181,0)) = 0, "", INDEX(Mapping!$D$2:$D$181,MATCH($A14,Mapping!$F$2:$F$181,0))), "")</f>
        <v>EndTime</v>
      </c>
      <c r="G14" s="1" t="str">
        <f>IFERROR(IF(INDEX(Mapping!$E$2:$E$181,MATCH($A14,Mapping!$F$2:$F$181,0)) = 0, "", INDEX(Mapping!$E$2:$E$181,MATCH($A14,Mapping!$F$2:$F$181,0))), "")</f>
        <v>MRR.FINISH_T</v>
      </c>
      <c r="H14" s="1"/>
    </row>
    <row r="15" spans="1:8" x14ac:dyDescent="0.25">
      <c r="A15" s="1" t="s">
        <v>283</v>
      </c>
      <c r="B15" s="1" t="str">
        <f>IFERROR(IF(INDEX(Mapping!$G$2:$G$181,MATCH($A15,Mapping!$F$2:$F$181,0)) = 0, IF(INDEX(Mapping!$I$2:$I$181,MATCH($A15,Mapping!$F$2:$F$181,0)) = 0, $A15, INDEX(Mapping!$I$2:$I$181,MATCH($A15,Mapping!$F$2:$F$181,0))), INDEX(Mapping!$G$2:$G$181,MATCH($A15,Mapping!$F$2:$F$181,0))), "")</f>
        <v>op_log linked index 8</v>
      </c>
      <c r="C15" s="1" t="str">
        <f>IFERROR(IF(INDEX(Mapping!$I$2:$I$181,MATCH($A15,Mapping!$F$2:$F$181,0)) = 0, "Metadata", INDEX(Mapping!$I$2:$I$181,MATCH($A15,Mapping!$F$2:$F$181,0))), "")</f>
        <v>op_log linked index 8</v>
      </c>
      <c r="D15" s="1" t="str">
        <f>IFERROR(IF(INDEX(Mapping!$H$2:$H$181,MATCH($A15,Mapping!$F$2:$F$181,0)) = 0, "", INDEX(Mapping!$H$2:$H$181,MATCH($A15,Mapping!$F$2:$F$181,0))), "")</f>
        <v>DbMetaData("Test Software", vFileName)</v>
      </c>
      <c r="E15" s="1" t="str">
        <f>IFERROR(IF(INDEX(Mapping!$C$2:$C$181,MATCH($A15,Mapping!$F$2:$F$181,0)) = 0, "", INDEX(Mapping!$C$2:$C$181,MATCH($A15,Mapping!$F$2:$F$181,0))), "")</f>
        <v>File/Lot[ExecType]</v>
      </c>
      <c r="F15" s="1" t="str">
        <f>IFERROR(IF(INDEX(Mapping!$D$2:$D$181,MATCH($A15,Mapping!$F$2:$F$181,0)) = 0, "", INDEX(Mapping!$D$2:$D$181,MATCH($A15,Mapping!$F$2:$F$181,0))), "")</f>
        <v>TesterSoftware</v>
      </c>
      <c r="G15" s="1" t="str">
        <f>IFERROR(IF(INDEX(Mapping!$E$2:$E$181,MATCH($A15,Mapping!$F$2:$F$181,0)) = 0, "", INDEX(Mapping!$E$2:$E$181,MATCH($A15,Mapping!$F$2:$F$181,0))), "")</f>
        <v>MIR.EXEC_TYP</v>
      </c>
      <c r="H15" s="1"/>
    </row>
    <row r="16" spans="1:8" x14ac:dyDescent="0.25">
      <c r="A16" s="1" t="s">
        <v>80</v>
      </c>
      <c r="B16" s="1" t="str">
        <f>IFERROR(IF(INDEX(Mapping!$G$2:$G$181,MATCH($A16,Mapping!$F$2:$F$181,0)) = 0, IF(INDEX(Mapping!$I$2:$I$181,MATCH($A16,Mapping!$F$2:$F$181,0)) = 0, $A16, INDEX(Mapping!$I$2:$I$181,MATCH($A16,Mapping!$F$2:$F$181,0))), INDEX(Mapping!$G$2:$G$181,MATCH($A16,Mapping!$F$2:$F$181,0))), "")</f>
        <v>Operator ID</v>
      </c>
      <c r="C16" s="1" t="str">
        <f>IFERROR(IF(INDEX(Mapping!$I$2:$I$181,MATCH($A16,Mapping!$F$2:$F$181,0)) = 0, "Metadata", INDEX(Mapping!$I$2:$I$181,MATCH($A16,Mapping!$F$2:$F$181,0))), "")</f>
        <v>Metadata</v>
      </c>
      <c r="D16" s="1" t="str">
        <f>IFERROR(IF(INDEX(Mapping!$H$2:$H$181,MATCH($A16,Mapping!$F$2:$F$181,0)) = 0, "", INDEX(Mapping!$H$2:$H$181,MATCH($A16,Mapping!$F$2:$F$181,0))), "")</f>
        <v>vDbOperator</v>
      </c>
      <c r="E16" s="1" t="str">
        <f>IFERROR(IF(INDEX(Mapping!$C$2:$C$181,MATCH($A16,Mapping!$F$2:$F$181,0)) = 0, "", INDEX(Mapping!$C$2:$C$181,MATCH($A16,Mapping!$F$2:$F$181,0))), "")</f>
        <v>File/Lot[OperatorName]</v>
      </c>
      <c r="F16" s="1" t="str">
        <f>IFERROR(IF(INDEX(Mapping!$D$2:$D$181,MATCH($A16,Mapping!$F$2:$F$181,0)) = 0, "", INDEX(Mapping!$D$2:$D$181,MATCH($A16,Mapping!$F$2:$F$181,0))), "")</f>
        <v>Operator</v>
      </c>
      <c r="G16" s="1" t="str">
        <f>IFERROR(IF(INDEX(Mapping!$E$2:$E$181,MATCH($A16,Mapping!$F$2:$F$181,0)) = 0, "", INDEX(Mapping!$E$2:$E$181,MATCH($A16,Mapping!$F$2:$F$181,0))), "")</f>
        <v>MIR.OPER_NAM</v>
      </c>
      <c r="H16" s="1"/>
    </row>
    <row r="17" spans="1:8" x14ac:dyDescent="0.25">
      <c r="A17" s="1" t="s">
        <v>101</v>
      </c>
      <c r="B17" s="1" t="str">
        <f>IFERROR(IF(INDEX(Mapping!$G$2:$G$181,MATCH($A17,Mapping!$F$2:$F$181,0)) = 0, IF(INDEX(Mapping!$I$2:$I$181,MATCH($A17,Mapping!$F$2:$F$181,0)) = 0, $A17, INDEX(Mapping!$I$2:$I$181,MATCH($A17,Mapping!$F$2:$F$181,0))), INDEX(Mapping!$G$2:$G$181,MATCH($A17,Mapping!$F$2:$F$181,0))), "")</f>
        <v>Equip[1] Type</v>
      </c>
      <c r="C17" s="1" t="str">
        <f>IFERROR(IF(INDEX(Mapping!$I$2:$I$181,MATCH($A17,Mapping!$F$2:$F$181,0)) = 0, "Metadata", INDEX(Mapping!$I$2:$I$181,MATCH($A17,Mapping!$F$2:$F$181,0))), "")</f>
        <v>Equip[1] Type</v>
      </c>
      <c r="D17" s="1" t="str">
        <f>IFERROR(IF(INDEX(Mapping!$H$2:$H$181,MATCH($A17,Mapping!$F$2:$F$181,0)) = 0, "", INDEX(Mapping!$H$2:$H$181,MATCH($A17,Mapping!$F$2:$F$181,0))), "")</f>
        <v/>
      </c>
      <c r="E17" s="1" t="str">
        <f>IFERROR(IF(INDEX(Mapping!$C$2:$C$181,MATCH($A17,Mapping!$F$2:$F$181,0)) = 0, "", INDEX(Mapping!$C$2:$C$181,MATCH($A17,Mapping!$F$2:$F$181,0))), "")</f>
        <v>File/Lot[TesterType]</v>
      </c>
      <c r="F17" s="1" t="str">
        <f>IFERROR(IF(INDEX(Mapping!$D$2:$D$181,MATCH($A17,Mapping!$F$2:$F$181,0)) = 0, "", INDEX(Mapping!$D$2:$D$181,MATCH($A17,Mapping!$F$2:$F$181,0))), "")</f>
        <v>TesterType</v>
      </c>
      <c r="G17" s="1" t="str">
        <f>IFERROR(IF(INDEX(Mapping!$E$2:$E$181,MATCH($A17,Mapping!$F$2:$F$181,0)) = 0, "", INDEX(Mapping!$E$2:$E$181,MATCH($A17,Mapping!$F$2:$F$181,0))), "")</f>
        <v>MIR.TSTR_TYP</v>
      </c>
      <c r="H17" s="1"/>
    </row>
    <row r="18" spans="1:8" x14ac:dyDescent="0.25">
      <c r="A18" s="1" t="s">
        <v>157</v>
      </c>
      <c r="B18" s="1" t="str">
        <f>IFERROR(IF(INDEX(Mapping!$G$2:$G$181,MATCH($A18,Mapping!$F$2:$F$181,0)) = 0, IF(INDEX(Mapping!$I$2:$I$181,MATCH($A18,Mapping!$F$2:$F$181,0)) = 0, $A18, INDEX(Mapping!$I$2:$I$181,MATCH($A18,Mapping!$F$2:$F$181,0))), INDEX(Mapping!$G$2:$G$181,MATCH($A18,Mapping!$F$2:$F$181,0))), "")</f>
        <v>Start Time</v>
      </c>
      <c r="C18" s="1" t="str">
        <f>IFERROR(IF(INDEX(Mapping!$I$2:$I$181,MATCH($A18,Mapping!$F$2:$F$181,0)) = 0, "Metadata", INDEX(Mapping!$I$2:$I$181,MATCH($A18,Mapping!$F$2:$F$181,0))), "")</f>
        <v>Metadata</v>
      </c>
      <c r="D18" s="1" t="str">
        <f>IFERROR(IF(INDEX(Mapping!$H$2:$H$181,MATCH($A18,Mapping!$F$2:$F$181,0)) = 0, "", INDEX(Mapping!$H$2:$H$181,MATCH($A18,Mapping!$F$2:$F$181,0))), "")</f>
        <v>vDbStartTime</v>
      </c>
      <c r="E18" s="1" t="str">
        <f>IFERROR(IF(INDEX(Mapping!$C$2:$C$181,MATCH($A18,Mapping!$F$2:$F$181,0)) = 0, "", INDEX(Mapping!$C$2:$C$181,MATCH($A18,Mapping!$F$2:$F$181,0))), "")</f>
        <v>File/Lot[StartTime]</v>
      </c>
      <c r="F18" s="1" t="str">
        <f>IFERROR(IF(INDEX(Mapping!$D$2:$D$181,MATCH($A18,Mapping!$F$2:$F$181,0)) = 0, "", INDEX(Mapping!$D$2:$D$181,MATCH($A18,Mapping!$F$2:$F$181,0))), "")</f>
        <v>StartTime</v>
      </c>
      <c r="G18" s="1" t="str">
        <f>IFERROR(IF(INDEX(Mapping!$E$2:$E$181,MATCH($A18,Mapping!$F$2:$F$181,0)) = 0, "", INDEX(Mapping!$E$2:$E$181,MATCH($A18,Mapping!$F$2:$F$181,0))), "")</f>
        <v>MIR.START_T</v>
      </c>
      <c r="H18" s="1"/>
    </row>
    <row r="19" spans="1:8" x14ac:dyDescent="0.25">
      <c r="A19" s="1" t="s">
        <v>284</v>
      </c>
      <c r="B19" s="1" t="str">
        <f>IFERROR(IF(INDEX(Mapping!$G$2:$G$181,MATCH($A19,Mapping!$F$2:$F$181,0)) = 0, IF(INDEX(Mapping!$I$2:$I$181,MATCH($A19,Mapping!$F$2:$F$181,0)) = 0, $A19, INDEX(Mapping!$I$2:$I$181,MATCH($A19,Mapping!$F$2:$F$181,0))), INDEX(Mapping!$G$2:$G$181,MATCH($A19,Mapping!$F$2:$F$181,0))), "")</f>
        <v>op_log linked index 2</v>
      </c>
      <c r="C19" s="1" t="str">
        <f>IFERROR(IF(INDEX(Mapping!$I$2:$I$181,MATCH($A19,Mapping!$F$2:$F$181,0)) = 0, "Metadata", INDEX(Mapping!$I$2:$I$181,MATCH($A19,Mapping!$F$2:$F$181,0))), "")</f>
        <v>op_log linked index 2</v>
      </c>
      <c r="D19" s="1" t="str">
        <f>IFERROR(IF(INDEX(Mapping!$H$2:$H$181,MATCH($A19,Mapping!$F$2:$F$181,0)) = 0, "", INDEX(Mapping!$H$2:$H$181,MATCH($A19,Mapping!$F$2:$F$181,0))), "")</f>
        <v>DbMetaData("Test Floor", vTestFloor)</v>
      </c>
      <c r="E19" s="1" t="str">
        <f>IFERROR(IF(INDEX(Mapping!$C$2:$C$181,MATCH($A19,Mapping!$F$2:$F$181,0)) = 0, "", INDEX(Mapping!$C$2:$C$181,MATCH($A19,Mapping!$F$2:$F$181,0))), "")</f>
        <v>File/Lot[FloorId]</v>
      </c>
      <c r="F19" s="1" t="str">
        <f>IFERROR(IF(INDEX(Mapping!$D$2:$D$181,MATCH($A19,Mapping!$F$2:$F$181,0)) = 0, "", INDEX(Mapping!$D$2:$D$181,MATCH($A19,Mapping!$F$2:$F$181,0))), "")</f>
        <v>TestFloor</v>
      </c>
      <c r="G19" s="1" t="str">
        <f>IFERROR(IF(INDEX(Mapping!$E$2:$E$181,MATCH($A19,Mapping!$F$2:$F$181,0)) = 0, "", INDEX(Mapping!$E$2:$E$181,MATCH($A19,Mapping!$F$2:$F$181,0))), "")</f>
        <v>MIR.FLOOR_ID</v>
      </c>
      <c r="H19" s="1"/>
    </row>
    <row r="20" spans="1:8" x14ac:dyDescent="0.25">
      <c r="A20" s="1" t="s">
        <v>286</v>
      </c>
      <c r="B20" s="1" t="str">
        <f>IFERROR(IF(INDEX(Mapping!$G$2:$G$181,MATCH($A20,Mapping!$F$2:$F$181,0)) = 0, IF(INDEX(Mapping!$I$2:$I$181,MATCH($A20,Mapping!$F$2:$F$181,0)) = 0, $A20, INDEX(Mapping!$I$2:$I$181,MATCH($A20,Mapping!$F$2:$F$181,0))), INDEX(Mapping!$G$2:$G$181,MATCH($A20,Mapping!$F$2:$F$181,0))), "")</f>
        <v>Equip[5]</v>
      </c>
      <c r="C20" s="1" t="str">
        <f>IFERROR(IF(INDEX(Mapping!$I$2:$I$181,MATCH($A20,Mapping!$F$2:$F$181,0)) = 0, "Metadata", INDEX(Mapping!$I$2:$I$181,MATCH($A20,Mapping!$F$2:$F$181,0))), "")</f>
        <v>Equip[5]</v>
      </c>
      <c r="D20" s="1" t="str">
        <f>IFERROR(IF(INDEX(Mapping!$H$2:$H$181,MATCH($A20,Mapping!$F$2:$F$181,0)) = 0, "", INDEX(Mapping!$H$2:$H$181,MATCH($A20,Mapping!$F$2:$F$181,0))), "")</f>
        <v>vDbEquip5, vDbProgRev</v>
      </c>
      <c r="E20" s="1" t="str">
        <f>IFERROR(IF(INDEX(Mapping!$C$2:$C$181,MATCH($A20,Mapping!$F$2:$F$181,0)) = 0, "", INDEX(Mapping!$C$2:$C$181,MATCH($A20,Mapping!$F$2:$F$181,0))), "")</f>
        <v>File/Lot[JobRevision]</v>
      </c>
      <c r="F20" s="1" t="str">
        <f>IFERROR(IF(INDEX(Mapping!$D$2:$D$181,MATCH($A20,Mapping!$F$2:$F$181,0)) = 0, "", INDEX(Mapping!$D$2:$D$181,MATCH($A20,Mapping!$F$2:$F$181,0))), "")</f>
        <v>RecipeRevision</v>
      </c>
      <c r="G20" s="1" t="str">
        <f>IFERROR(IF(INDEX(Mapping!$E$2:$E$181,MATCH($A20,Mapping!$F$2:$F$181,0)) = 0, "", INDEX(Mapping!$E$2:$E$181,MATCH($A20,Mapping!$F$2:$F$181,0))), "")</f>
        <v>MIR.JOB_REV</v>
      </c>
      <c r="H20" s="1"/>
    </row>
    <row r="21" spans="1:8" x14ac:dyDescent="0.25">
      <c r="A21" s="1" t="s">
        <v>287</v>
      </c>
      <c r="B21" s="1" t="str">
        <f>IFERROR(IF(INDEX(Mapping!$G$2:$G$181,MATCH($A21,Mapping!$F$2:$F$181,0)) = 0, IF(INDEX(Mapping!$I$2:$I$181,MATCH($A21,Mapping!$F$2:$F$181,0)) = 0, $A21, INDEX(Mapping!$I$2:$I$181,MATCH($A21,Mapping!$F$2:$F$181,0))), INDEX(Mapping!$G$2:$G$181,MATCH($A21,Mapping!$F$2:$F$181,0))), "")</f>
        <v>op_log linked index 9</v>
      </c>
      <c r="C21" s="1" t="str">
        <f>IFERROR(IF(INDEX(Mapping!$I$2:$I$181,MATCH($A21,Mapping!$F$2:$F$181,0)) = 0, "Metadata", INDEX(Mapping!$I$2:$I$181,MATCH($A21,Mapping!$F$2:$F$181,0))), "")</f>
        <v>op_log linked index 9</v>
      </c>
      <c r="D21" s="1" t="str">
        <f>IFERROR(IF(INDEX(Mapping!$H$2:$H$181,MATCH($A21,Mapping!$F$2:$F$181,0)) = 0, "", INDEX(Mapping!$H$2:$H$181,MATCH($A21,Mapping!$F$2:$F$181,0))), "")</f>
        <v>DbMetaData("Tester Software Version", vTesterSoftwareVersion)</v>
      </c>
      <c r="E21" s="1" t="str">
        <f>IFERROR(IF(INDEX(Mapping!$C$2:$C$181,MATCH($A21,Mapping!$F$2:$F$181,0)) = 0, "", INDEX(Mapping!$C$2:$C$181,MATCH($A21,Mapping!$F$2:$F$181,0))), "")</f>
        <v>File/Lot[ExecVersion]</v>
      </c>
      <c r="F21" s="1" t="str">
        <f>IFERROR(IF(INDEX(Mapping!$D$2:$D$181,MATCH($A21,Mapping!$F$2:$F$181,0)) = 0, "", INDEX(Mapping!$D$2:$D$181,MATCH($A21,Mapping!$F$2:$F$181,0))), "")</f>
        <v>TesterSoftwareRevision</v>
      </c>
      <c r="G21" s="1" t="str">
        <f>IFERROR(IF(INDEX(Mapping!$E$2:$E$181,MATCH($A21,Mapping!$F$2:$F$181,0)) = 0, "", INDEX(Mapping!$E$2:$E$181,MATCH($A21,Mapping!$F$2:$F$181,0))), "")</f>
        <v>MIR.EXEC_VER</v>
      </c>
      <c r="H21" s="1"/>
    </row>
    <row r="22" spans="1:8" x14ac:dyDescent="0.25">
      <c r="A22" s="1" t="s">
        <v>83</v>
      </c>
      <c r="B22" s="1" t="str">
        <f>IFERROR(IF(INDEX(Mapping!$G$2:$G$181,MATCH($A22,Mapping!$F$2:$F$181,0)) = 0, IF(INDEX(Mapping!$I$2:$I$181,MATCH($A22,Mapping!$F$2:$F$181,0)) = 0, $A22, INDEX(Mapping!$I$2:$I$181,MATCH($A22,Mapping!$F$2:$F$181,0))), INDEX(Mapping!$G$2:$G$181,MATCH($A22,Mapping!$F$2:$F$181,0))), "")</f>
        <v>Source Lot</v>
      </c>
      <c r="C22" s="1" t="str">
        <f>IFERROR(IF(INDEX(Mapping!$I$2:$I$181,MATCH($A22,Mapping!$F$2:$F$181,0)) = 0, "Metadata", INDEX(Mapping!$I$2:$I$181,MATCH($A22,Mapping!$F$2:$F$181,0))), "")</f>
        <v>Metadata</v>
      </c>
      <c r="D22" s="1" t="str">
        <f>IFERROR(IF(INDEX(Mapping!$H$2:$H$181,MATCH($A22,Mapping!$F$2:$F$181,0)) = 0, "", INDEX(Mapping!$H$2:$H$181,MATCH($A22,Mapping!$F$2:$F$181,0))), "")</f>
        <v>vDbSrcLot</v>
      </c>
      <c r="E22" s="1" t="str">
        <f>IFERROR(IF(INDEX(Mapping!$C$2:$C$181,MATCH($A22,Mapping!$F$2:$F$181,0)) = 0, "", INDEX(Mapping!$C$2:$C$181,MATCH($A22,Mapping!$F$2:$F$181,0))), "")</f>
        <v>File/Lot[SublotId]</v>
      </c>
      <c r="F22" s="1" t="str">
        <f>IFERROR(IF(INDEX(Mapping!$D$2:$D$181,MATCH($A22,Mapping!$F$2:$F$181,0)) = 0, "", INDEX(Mapping!$D$2:$D$181,MATCH($A22,Mapping!$F$2:$F$181,0))), "")</f>
        <v>SourceLot</v>
      </c>
      <c r="G22" s="1" t="str">
        <f>IFERROR(IF(INDEX(Mapping!$E$2:$E$181,MATCH($A22,Mapping!$F$2:$F$181,0)) = 0, "", INDEX(Mapping!$E$2:$E$181,MATCH($A22,Mapping!$F$2:$F$181,0))), "")</f>
        <v>MIR.SBLOT_ID</v>
      </c>
      <c r="H22" s="1"/>
    </row>
    <row r="23" spans="1:8" x14ac:dyDescent="0.25">
      <c r="A23" s="1" t="s">
        <v>288</v>
      </c>
      <c r="B23" s="1" t="str">
        <f>IFERROR(IF(INDEX(Mapping!$G$2:$G$181,MATCH($A23,Mapping!$F$2:$F$181,0)) = 0, IF(INDEX(Mapping!$I$2:$I$181,MATCH($A23,Mapping!$F$2:$F$181,0)) = 0, $A23, INDEX(Mapping!$I$2:$I$181,MATCH($A23,Mapping!$F$2:$F$181,0))), INDEX(Mapping!$G$2:$G$181,MATCH($A23,Mapping!$F$2:$F$181,0))), "")</f>
        <v>op_log linked index 16</v>
      </c>
      <c r="C23" s="1" t="str">
        <f>IFERROR(IF(INDEX(Mapping!$I$2:$I$181,MATCH($A23,Mapping!$F$2:$F$181,0)) = 0, "Metadata", INDEX(Mapping!$I$2:$I$181,MATCH($A23,Mapping!$F$2:$F$181,0))), "")</f>
        <v>op_log linked index 16</v>
      </c>
      <c r="D23" s="1" t="str">
        <f>IFERROR(IF(INDEX(Mapping!$H$2:$H$181,MATCH($A23,Mapping!$F$2:$F$181,0)) = 0, "", INDEX(Mapping!$H$2:$H$181,MATCH($A23,Mapping!$F$2:$F$181,0))), "")</f>
        <v>DbMetaData("PDS File", vFileName)</v>
      </c>
      <c r="E23" s="1" t="str">
        <f>IFERROR(IF(INDEX(Mapping!$C$2:$C$181,MATCH($A23,Mapping!$F$2:$F$181,0)) = 0, "", INDEX(Mapping!$C$2:$C$181,MATCH($A23,Mapping!$F$2:$F$181,0))), "")</f>
        <v>File/Lot[AUXFile]</v>
      </c>
      <c r="F23" s="1" t="str">
        <f>IFERROR(IF(INDEX(Mapping!$D$2:$D$181,MATCH($A23,Mapping!$F$2:$F$181,0)) = 0, "", INDEX(Mapping!$D$2:$D$181,MATCH($A23,Mapping!$F$2:$F$181,0))), "")</f>
        <v>PdsFile</v>
      </c>
      <c r="G23" s="1" t="str">
        <f>IFERROR(IF(INDEX(Mapping!$E$2:$E$181,MATCH($A23,Mapping!$F$2:$F$181,0)) = 0, "", INDEX(Mapping!$E$2:$E$181,MATCH($A23,Mapping!$F$2:$F$181,0))), "")</f>
        <v>MIR.AUX_FILE</v>
      </c>
      <c r="H23" s="1"/>
    </row>
    <row r="24" spans="1:8" x14ac:dyDescent="0.25">
      <c r="A24" s="1" t="s">
        <v>390</v>
      </c>
      <c r="B24" s="1" t="str">
        <f>IFERROR(IF(INDEX(Mapping!$G$2:$G$181,MATCH($A24,Mapping!$F$2:$F$181,0)) = 0, IF(INDEX(Mapping!$I$2:$I$181,MATCH($A24,Mapping!$F$2:$F$181,0)) = 0, $A24, INDEX(Mapping!$I$2:$I$181,MATCH($A24,Mapping!$F$2:$F$181,0))), INDEX(Mapping!$G$2:$G$181,MATCH($A24,Mapping!$F$2:$F$181,0))), "")</f>
        <v>Test Mode</v>
      </c>
      <c r="C24" s="1" t="str">
        <f>IFERROR(IF(INDEX(Mapping!$I$2:$I$181,MATCH($A24,Mapping!$F$2:$F$181,0)) = 0, "Metadata", INDEX(Mapping!$I$2:$I$181,MATCH($A24,Mapping!$F$2:$F$181,0))), "")</f>
        <v>Metadata</v>
      </c>
      <c r="D24" s="1" t="str">
        <f>IFERROR(IF(INDEX(Mapping!$H$2:$H$181,MATCH($A24,Mapping!$F$2:$F$181,0)) = 0, "", INDEX(Mapping!$H$2:$H$181,MATCH($A24,Mapping!$F$2:$F$181,0))), "")</f>
        <v/>
      </c>
      <c r="E24" s="1" t="str">
        <f>IFERROR(IF(INDEX(Mapping!$C$2:$C$181,MATCH($A24,Mapping!$F$2:$F$181,0)) = 0, "", INDEX(Mapping!$C$2:$C$181,MATCH($A24,Mapping!$F$2:$F$181,0))), "")</f>
        <v/>
      </c>
      <c r="F24" s="1" t="str">
        <f>IFERROR(IF(INDEX(Mapping!$D$2:$D$181,MATCH($A24,Mapping!$F$2:$F$181,0)) = 0, "", INDEX(Mapping!$D$2:$D$181,MATCH($A24,Mapping!$F$2:$F$181,0))), "")</f>
        <v>TestMode</v>
      </c>
      <c r="G24" s="1" t="str">
        <f>IFERROR(IF(INDEX(Mapping!$E$2:$E$181,MATCH($A24,Mapping!$F$2:$F$181,0)) = 0, "", INDEX(Mapping!$E$2:$E$181,MATCH($A24,Mapping!$F$2:$F$181,0))), "")</f>
        <v>MIR.RTST_COD</v>
      </c>
      <c r="H24" s="1"/>
    </row>
    <row r="25" spans="1:8" x14ac:dyDescent="0.25">
      <c r="A25" s="1" t="s">
        <v>290</v>
      </c>
      <c r="B25" s="1" t="str">
        <f>IFERROR(IF(INDEX(Mapping!$G$2:$G$181,MATCH($A25,Mapping!$F$2:$F$181,0)) = 0, IF(INDEX(Mapping!$I$2:$I$181,MATCH($A25,Mapping!$F$2:$F$181,0)) = 0, $A25, INDEX(Mapping!$I$2:$I$181,MATCH($A25,Mapping!$F$2:$F$181,0))), INDEX(Mapping!$G$2:$G$181,MATCH($A25,Mapping!$F$2:$F$181,0))), "")</f>
        <v>Prober/Handler</v>
      </c>
      <c r="C25" s="1" t="str">
        <f>IFERROR(IF(INDEX(Mapping!$I$2:$I$181,MATCH($A25,Mapping!$F$2:$F$181,0)) = 0, "Metadata", INDEX(Mapping!$I$2:$I$181,MATCH($A25,Mapping!$F$2:$F$181,0))), "")</f>
        <v>Equip[2]</v>
      </c>
      <c r="D25" s="1" t="str">
        <f>IFERROR(IF(INDEX(Mapping!$H$2:$H$181,MATCH($A25,Mapping!$F$2:$F$181,0)) = 0, "", INDEX(Mapping!$H$2:$H$181,MATCH($A25,Mapping!$F$2:$F$181,0))), "")</f>
        <v>vDbEquip2</v>
      </c>
      <c r="E25" s="1" t="str">
        <f>IFERROR(IF(INDEX(Mapping!$C$2:$C$181,MATCH($A25,Mapping!$F$2:$F$181,0)) = 0, "", INDEX(Mapping!$C$2:$C$181,MATCH($A25,Mapping!$F$2:$F$181,0))), "")</f>
        <v>File/Lot/Sites/Site[HandlerId]</v>
      </c>
      <c r="F25" s="1" t="str">
        <f>IFERROR(IF(INDEX(Mapping!$D$2:$D$181,MATCH($A25,Mapping!$F$2:$F$181,0)) = 0, "", INDEX(Mapping!$D$2:$D$181,MATCH($A25,Mapping!$F$2:$F$181,0))), "")</f>
        <v/>
      </c>
      <c r="G25" s="1" t="str">
        <f>IFERROR(IF(INDEX(Mapping!$E$2:$E$181,MATCH($A25,Mapping!$F$2:$F$181,0)) = 0, "", INDEX(Mapping!$E$2:$E$181,MATCH($A25,Mapping!$F$2:$F$181,0))), "")</f>
        <v>SDR.HAND_ID</v>
      </c>
      <c r="H25" s="1"/>
    </row>
    <row r="26" spans="1:8" x14ac:dyDescent="0.25">
      <c r="A26" s="1" t="s">
        <v>292</v>
      </c>
      <c r="B26" s="1" t="str">
        <f>IFERROR(IF(INDEX(Mapping!$G$2:$G$181,MATCH($A26,Mapping!$F$2:$F$181,0)) = 0, IF(INDEX(Mapping!$I$2:$I$181,MATCH($A26,Mapping!$F$2:$F$181,0)) = 0, $A26, INDEX(Mapping!$I$2:$I$181,MATCH($A26,Mapping!$F$2:$F$181,0))), INDEX(Mapping!$G$2:$G$181,MATCH($A26,Mapping!$F$2:$F$181,0))), "")</f>
        <v>Equip[3]</v>
      </c>
      <c r="C26" s="1" t="str">
        <f>IFERROR(IF(INDEX(Mapping!$I$2:$I$181,MATCH($A26,Mapping!$F$2:$F$181,0)) = 0, "Metadata", INDEX(Mapping!$I$2:$I$181,MATCH($A26,Mapping!$F$2:$F$181,0))), "")</f>
        <v>Equip[3]</v>
      </c>
      <c r="D26" s="1" t="str">
        <f>IFERROR(IF(INDEX(Mapping!$H$2:$H$181,MATCH($A26,Mapping!$F$2:$F$181,0)) = 0, "", INDEX(Mapping!$H$2:$H$181,MATCH($A26,Mapping!$F$2:$F$181,0))), "")</f>
        <v>vDbEquip3</v>
      </c>
      <c r="E26" s="1" t="str">
        <f>IFERROR(IF(INDEX(Mapping!$C$2:$C$181,MATCH($A26,Mapping!$F$2:$F$181,0)) = 0, "", INDEX(Mapping!$C$2:$C$181,MATCH($A26,Mapping!$F$2:$F$181,0))), "")</f>
        <v>File/Lot/Sites/Site[CardId]</v>
      </c>
      <c r="F26" s="1" t="str">
        <f>IFERROR(IF(INDEX(Mapping!$D$2:$D$181,MATCH($A26,Mapping!$F$2:$F$181,0)) = 0, "", INDEX(Mapping!$D$2:$D$181,MATCH($A26,Mapping!$F$2:$F$181,0))), "")</f>
        <v/>
      </c>
      <c r="G26" s="1" t="str">
        <f>IFERROR(IF(INDEX(Mapping!$E$2:$E$181,MATCH($A26,Mapping!$F$2:$F$181,0)) = 0, "", INDEX(Mapping!$E$2:$E$181,MATCH($A26,Mapping!$F$2:$F$181,0))), "")</f>
        <v>SDR.CARD_ID</v>
      </c>
      <c r="H26" s="1"/>
    </row>
    <row r="27" spans="1:8" x14ac:dyDescent="0.25">
      <c r="A27" s="1" t="s">
        <v>47</v>
      </c>
      <c r="B27" s="1" t="str">
        <f>IFERROR(IF(INDEX(Mapping!$G$2:$G$181,MATCH($A27,Mapping!$F$2:$F$181,0)) = 0, IF(INDEX(Mapping!$I$2:$I$181,MATCH($A27,Mapping!$F$2:$F$181,0)) = 0, $A27, INDEX(Mapping!$I$2:$I$181,MATCH($A27,Mapping!$F$2:$F$181,0))), INDEX(Mapping!$G$2:$G$181,MATCH($A27,Mapping!$F$2:$F$181,0))), "")</f>
        <v>TestName (KeyCond)</v>
      </c>
      <c r="C27" s="1" t="str">
        <f>IFERROR(IF(INDEX(Mapping!$I$2:$I$181,MATCH($A27,Mapping!$F$2:$F$181,0)) = 0, "Metadata", INDEX(Mapping!$I$2:$I$181,MATCH($A27,Mapping!$F$2:$F$181,0))), "")</f>
        <v>Metadata</v>
      </c>
      <c r="D27" s="1" t="str">
        <f>IFERROR(IF(INDEX(Mapping!$H$2:$H$181,MATCH($A27,Mapping!$F$2:$F$181,0)) = 0, "", INDEX(Mapping!$H$2:$H$181,MATCH($A27,Mapping!$F$2:$F$181,0))), "")</f>
        <v/>
      </c>
      <c r="E27" s="1" t="str">
        <f>IFERROR(IF(INDEX(Mapping!$C$2:$C$181,MATCH($A27,Mapping!$F$2:$F$181,0)) = 0, "", INDEX(Mapping!$C$2:$C$181,MATCH($A27,Mapping!$F$2:$F$181,0))), "")</f>
        <v>File/Lot/Parameters/Param[TestName]</v>
      </c>
      <c r="F27" s="20" t="str">
        <f>IFERROR(IF(INDEX(Mapping!$D$2:$D$181,MATCH($A27,Mapping!$F$2:$F$181,0)) = 0, "", INDEX(Mapping!$D$2:$D$181,MATCH($A27,Mapping!$F$2:$F$181,0))), "")</f>
        <v/>
      </c>
      <c r="G27" s="1" t="str">
        <f>IFERROR(IF(INDEX(Mapping!$E$2:$E$181,MATCH($A27,Mapping!$F$2:$F$181,0)) = 0, "", INDEX(Mapping!$E$2:$E$181,MATCH($A27,Mapping!$F$2:$F$181,0))), "")</f>
        <v/>
      </c>
      <c r="H27" s="1"/>
    </row>
    <row r="28" spans="1:8" x14ac:dyDescent="0.25">
      <c r="A28" s="1" t="s">
        <v>48</v>
      </c>
      <c r="B28" s="1" t="str">
        <f>IFERROR(IF(INDEX(Mapping!$G$2:$G$181,MATCH($A28,Mapping!$F$2:$F$181,0)) = 0, IF(INDEX(Mapping!$I$2:$I$181,MATCH($A28,Mapping!$F$2:$F$181,0)) = 0, $A28, INDEX(Mapping!$I$2:$I$181,MATCH($A28,Mapping!$F$2:$F$181,0))), INDEX(Mapping!$G$2:$G$181,MATCH($A28,Mapping!$F$2:$F$181,0))), "")</f>
        <v>TestNumber (KeyCond)</v>
      </c>
      <c r="C28" s="1" t="str">
        <f>IFERROR(IF(INDEX(Mapping!$I$2:$I$181,MATCH($A28,Mapping!$F$2:$F$181,0)) = 0, "Metadata", INDEX(Mapping!$I$2:$I$181,MATCH($A28,Mapping!$F$2:$F$181,0))), "")</f>
        <v>Metadata</v>
      </c>
      <c r="D28" s="20" t="str">
        <f>IFERROR(IF(INDEX(Mapping!$H$2:$H$181,MATCH($A28,Mapping!$F$2:$F$181,0)) = 0, "", INDEX(Mapping!$H$2:$H$181,MATCH($A28,Mapping!$F$2:$F$181,0))), "")</f>
        <v/>
      </c>
      <c r="E28" s="1" t="str">
        <f>IFERROR(IF(INDEX(Mapping!$C$2:$C$181,MATCH($A28,Mapping!$F$2:$F$181,0)) = 0, "", INDEX(Mapping!$C$2:$C$181,MATCH($A28,Mapping!$F$2:$F$181,0))), "")</f>
        <v>File/Lot/Parameters/Param[TestNumber]</v>
      </c>
      <c r="F28" s="20" t="str">
        <f>IFERROR(IF(INDEX(Mapping!$D$2:$D$181,MATCH($A28,Mapping!$F$2:$F$181,0)) = 0, "", INDEX(Mapping!$D$2:$D$181,MATCH($A28,Mapping!$F$2:$F$181,0))), "")</f>
        <v/>
      </c>
      <c r="G28" s="20" t="str">
        <f>IFERROR(IF(INDEX(Mapping!$E$2:$E$181,MATCH($A28,Mapping!$F$2:$F$181,0)) = 0, "", INDEX(Mapping!$E$2:$E$181,MATCH($A28,Mapping!$F$2:$F$181,0))), "")</f>
        <v/>
      </c>
      <c r="H28" s="1"/>
    </row>
    <row r="29" spans="1:8" x14ac:dyDescent="0.25">
      <c r="A29" s="1" t="s">
        <v>158</v>
      </c>
      <c r="B29" s="1" t="str">
        <f>IFERROR(IF(INDEX(Mapping!$G$2:$G$181,MATCH($A29,Mapping!$F$2:$F$181,0)) = 0, IF(INDEX(Mapping!$I$2:$I$181,MATCH($A29,Mapping!$F$2:$F$181,0)) = 0, $A29, INDEX(Mapping!$I$2:$I$181,MATCH($A29,Mapping!$F$2:$F$181,0))), INDEX(Mapping!$G$2:$G$181,MATCH($A29,Mapping!$F$2:$F$181,0))), "")</f>
        <v>Wafer Number</v>
      </c>
      <c r="C29" s="1" t="str">
        <f>IFERROR(IF(INDEX(Mapping!$I$2:$I$181,MATCH($A29,Mapping!$F$2:$F$181,0)) = 0, "Metadata", INDEX(Mapping!$I$2:$I$181,MATCH($A29,Mapping!$F$2:$F$181,0))), "")</f>
        <v>Metadata</v>
      </c>
      <c r="D29" s="20" t="str">
        <f>IFERROR(IF(INDEX(Mapping!$H$2:$H$181,MATCH($A29,Mapping!$F$2:$F$181,0)) = 0, "", INDEX(Mapping!$H$2:$H$181,MATCH($A29,Mapping!$F$2:$F$181,0))), "")</f>
        <v>vDbWfNum</v>
      </c>
      <c r="E29" s="1" t="str">
        <f>IFERROR(IF(INDEX(Mapping!$C$2:$C$181,MATCH($A29,Mapping!$F$2:$F$181,0)) = 0, "", INDEX(Mapping!$C$2:$C$181,MATCH($A29,Mapping!$F$2:$F$181,0))), "")</f>
        <v>File/Lot/Wafer[WaferId]</v>
      </c>
      <c r="F29" s="20" t="str">
        <f>IFERROR(IF(INDEX(Mapping!$D$2:$D$181,MATCH($A29,Mapping!$F$2:$F$181,0)) = 0, "", INDEX(Mapping!$D$2:$D$181,MATCH($A29,Mapping!$F$2:$F$181,0))), "")</f>
        <v>WaferNumber</v>
      </c>
      <c r="G29" s="20" t="str">
        <f>IFERROR(IF(INDEX(Mapping!$E$2:$E$181,MATCH($A29,Mapping!$F$2:$F$181,0)) = 0, "", INDEX(Mapping!$E$2:$E$181,MATCH($A29,Mapping!$F$2:$F$181,0))), "")</f>
        <v/>
      </c>
      <c r="H29" s="1"/>
    </row>
    <row r="30" spans="1:8" x14ac:dyDescent="0.25">
      <c r="A30" s="1" t="s">
        <v>198</v>
      </c>
      <c r="B30" s="1" t="str">
        <f>IFERROR(IF(INDEX(Mapping!$G$2:$G$181,MATCH($A30,Mapping!$F$2:$F$181,0)) = 0, IF(INDEX(Mapping!$I$2:$I$181,MATCH($A30,Mapping!$F$2:$F$181,0)) = 0, $A30, INDEX(Mapping!$I$2:$I$181,MATCH($A30,Mapping!$F$2:$F$181,0))), INDEX(Mapping!$G$2:$G$181,MATCH($A30,Mapping!$F$2:$F$181,0))), "")</f>
        <v>Test Site ID</v>
      </c>
      <c r="C30" s="1" t="str">
        <f>IFERROR(IF(INDEX(Mapping!$I$2:$I$181,MATCH($A30,Mapping!$F$2:$F$181,0)) = 0, "Metadata", INDEX(Mapping!$I$2:$I$181,MATCH($A30,Mapping!$F$2:$F$181,0))), "")</f>
        <v>Metadata</v>
      </c>
      <c r="D30" s="20" t="str">
        <f>IFERROR(IF(INDEX(Mapping!$H$2:$H$181,MATCH($A30,Mapping!$F$2:$F$181,0)) = 0, "", INDEX(Mapping!$H$2:$H$181,MATCH($A30,Mapping!$F$2:$F$181,0))), "")</f>
        <v>TestSite (Index)</v>
      </c>
      <c r="E30" s="1" t="str">
        <f>IFERROR(IF(INDEX(Mapping!$C$2:$C$181,MATCH($A30,Mapping!$F$2:$F$181,0)) = 0, "", INDEX(Mapping!$C$2:$C$181,MATCH($A30,Mapping!$F$2:$F$181,0))), "")</f>
        <v>File/Lot/Wafer/ParametricData/Unit[Site]</v>
      </c>
      <c r="F30" s="20" t="str">
        <f>IFERROR(IF(INDEX(Mapping!$D$2:$D$181,MATCH($A30,Mapping!$F$2:$F$181,0)) = 0, "", INDEX(Mapping!$D$2:$D$181,MATCH($A30,Mapping!$F$2:$F$181,0))), "")</f>
        <v/>
      </c>
      <c r="G30" s="20" t="str">
        <f>IFERROR(IF(INDEX(Mapping!$E$2:$E$181,MATCH($A30,Mapping!$F$2:$F$181,0)) = 0, "", INDEX(Mapping!$E$2:$E$181,MATCH($A30,Mapping!$F$2:$F$181,0))), "")</f>
        <v/>
      </c>
      <c r="H30" s="1"/>
    </row>
    <row r="31" spans="1:8" x14ac:dyDescent="0.25">
      <c r="A31" s="1" t="s">
        <v>207</v>
      </c>
      <c r="B31" s="1" t="str">
        <f>IFERROR(IF(INDEX(Mapping!$G$2:$G$181,MATCH($A31,Mapping!$F$2:$F$181,0)) = 0, IF(INDEX(Mapping!$I$2:$I$181,MATCH($A31,Mapping!$F$2:$F$181,0)) = 0, $A31, INDEX(Mapping!$I$2:$I$181,MATCH($A31,Mapping!$F$2:$F$181,0))), INDEX(Mapping!$G$2:$G$181,MATCH($A31,Mapping!$F$2:$F$181,0))), "")</f>
        <v>res index</v>
      </c>
      <c r="C31" s="1" t="str">
        <f>IFERROR(IF(INDEX(Mapping!$I$2:$I$181,MATCH($A31,Mapping!$F$2:$F$181,0)) = 0, "Metadata", INDEX(Mapping!$I$2:$I$181,MATCH($A31,Mapping!$F$2:$F$181,0))), "")</f>
        <v>res index</v>
      </c>
      <c r="D31" s="20" t="str">
        <f>IFERROR(IF(INDEX(Mapping!$H$2:$H$181,MATCH($A31,Mapping!$F$2:$F$181,0)) = 0, "", INDEX(Mapping!$H$2:$H$181,MATCH($A31,Mapping!$F$2:$F$181,0))), "")</f>
        <v>HardBin (Index)</v>
      </c>
      <c r="E31" s="1" t="str">
        <f>IFERROR(IF(INDEX(Mapping!$C$2:$C$181,MATCH($A31,Mapping!$F$2:$F$181,0)) = 0, "", INDEX(Mapping!$C$2:$C$181,MATCH($A31,Mapping!$F$2:$F$181,0))), "")</f>
        <v>File/Lot/Wafer/ParametricData/Unit[HardBin]</v>
      </c>
      <c r="F31" s="20" t="str">
        <f>IFERROR(IF(INDEX(Mapping!$D$2:$D$181,MATCH($A31,Mapping!$F$2:$F$181,0)) = 0, "", INDEX(Mapping!$D$2:$D$181,MATCH($A31,Mapping!$F$2:$F$181,0))), "")</f>
        <v/>
      </c>
      <c r="G31" s="20" t="str">
        <f>IFERROR(IF(INDEX(Mapping!$E$2:$E$181,MATCH($A31,Mapping!$F$2:$F$181,0)) = 0, "", INDEX(Mapping!$E$2:$E$181,MATCH($A31,Mapping!$F$2:$F$181,0))), "")</f>
        <v/>
      </c>
      <c r="H31" s="1"/>
    </row>
    <row r="32" spans="1:8" x14ac:dyDescent="0.25">
      <c r="A32" s="1" t="s">
        <v>205</v>
      </c>
      <c r="B32" s="1" t="str">
        <f>IFERROR(IF(INDEX(Mapping!$G$2:$G$181,MATCH($A32,Mapping!$F$2:$F$181,0)) = 0, IF(INDEX(Mapping!$I$2:$I$181,MATCH($A32,Mapping!$F$2:$F$181,0)) = 0, $A32, INDEX(Mapping!$I$2:$I$181,MATCH($A32,Mapping!$F$2:$F$181,0))), INDEX(Mapping!$G$2:$G$181,MATCH($A32,Mapping!$F$2:$F$181,0))), "")</f>
        <v>res index</v>
      </c>
      <c r="C32" s="1" t="str">
        <f>IFERROR(IF(INDEX(Mapping!$I$2:$I$181,MATCH($A32,Mapping!$F$2:$F$181,0)) = 0, "Metadata", INDEX(Mapping!$I$2:$I$181,MATCH($A32,Mapping!$F$2:$F$181,0))), "")</f>
        <v>res index</v>
      </c>
      <c r="D32" s="20" t="str">
        <f>IFERROR(IF(INDEX(Mapping!$H$2:$H$181,MATCH($A32,Mapping!$F$2:$F$181,0)) = 0, "", INDEX(Mapping!$H$2:$H$181,MATCH($A32,Mapping!$F$2:$F$181,0))), "")</f>
        <v>DbDieXYIndexes</v>
      </c>
      <c r="E32" s="1" t="str">
        <f>IFERROR(IF(INDEX(Mapping!$C$2:$C$181,MATCH($A32,Mapping!$F$2:$F$181,0)) = 0, "", INDEX(Mapping!$C$2:$C$181,MATCH($A32,Mapping!$F$2:$F$181,0))), "")</f>
        <v>File/Lot/Wafer/ParametricData/Unit[X]</v>
      </c>
      <c r="F32" s="20" t="str">
        <f>IFERROR(IF(INDEX(Mapping!$D$2:$D$181,MATCH($A32,Mapping!$F$2:$F$181,0)) = 0, "", INDEX(Mapping!$D$2:$D$181,MATCH($A32,Mapping!$F$2:$F$181,0))), "")</f>
        <v/>
      </c>
      <c r="G32" s="20" t="str">
        <f>IFERROR(IF(INDEX(Mapping!$E$2:$E$181,MATCH($A32,Mapping!$F$2:$F$181,0)) = 0, "", INDEX(Mapping!$E$2:$E$181,MATCH($A32,Mapping!$F$2:$F$181,0))), "")</f>
        <v/>
      </c>
      <c r="H32" s="1"/>
    </row>
    <row r="33" spans="1:8" x14ac:dyDescent="0.25">
      <c r="A33" s="1" t="s">
        <v>205</v>
      </c>
      <c r="B33" s="1" t="str">
        <f>IFERROR(IF(INDEX(Mapping!$G$2:$G$181,MATCH($A33,Mapping!$F$2:$F$181,0)) = 0, IF(INDEX(Mapping!$I$2:$I$181,MATCH($A33,Mapping!$F$2:$F$181,0)) = 0, $A33, INDEX(Mapping!$I$2:$I$181,MATCH($A33,Mapping!$F$2:$F$181,0))), INDEX(Mapping!$G$2:$G$181,MATCH($A33,Mapping!$F$2:$F$181,0))), "")</f>
        <v>res index</v>
      </c>
      <c r="C33" s="1" t="str">
        <f>IFERROR(IF(INDEX(Mapping!$I$2:$I$181,MATCH($A33,Mapping!$F$2:$F$181,0)) = 0, "Metadata", INDEX(Mapping!$I$2:$I$181,MATCH($A33,Mapping!$F$2:$F$181,0))), "")</f>
        <v>res index</v>
      </c>
      <c r="D33" s="20" t="str">
        <f>IFERROR(IF(INDEX(Mapping!$H$2:$H$181,MATCH($A33,Mapping!$F$2:$F$181,0)) = 0, "", INDEX(Mapping!$H$2:$H$181,MATCH($A33,Mapping!$F$2:$F$181,0))), "")</f>
        <v>DbDieXYIndexes</v>
      </c>
      <c r="E33" s="1" t="str">
        <f>IFERROR(IF(INDEX(Mapping!$C$2:$C$181,MATCH($A33,Mapping!$F$2:$F$181,0)) = 0, "", INDEX(Mapping!$C$2:$C$181,MATCH($A33,Mapping!$F$2:$F$181,0))), "")</f>
        <v>File/Lot/Wafer/ParametricData/Unit[X]</v>
      </c>
      <c r="F33" s="20" t="str">
        <f>IFERROR(IF(INDEX(Mapping!$D$2:$D$181,MATCH($A33,Mapping!$F$2:$F$181,0)) = 0, "", INDEX(Mapping!$D$2:$D$181,MATCH($A33,Mapping!$F$2:$F$181,0))), "")</f>
        <v/>
      </c>
      <c r="G33" s="20" t="str">
        <f>IFERROR(IF(INDEX(Mapping!$E$2:$E$181,MATCH($A33,Mapping!$F$2:$F$181,0)) = 0, "", INDEX(Mapping!$E$2:$E$181,MATCH($A33,Mapping!$F$2:$F$181,0))), "")</f>
        <v/>
      </c>
      <c r="H33" s="1"/>
    </row>
    <row r="34" spans="1:8" x14ac:dyDescent="0.25">
      <c r="A34" s="1" t="s">
        <v>208</v>
      </c>
      <c r="B34" s="1" t="str">
        <f>IFERROR(IF(INDEX(Mapping!$G$2:$G$181,MATCH($A34,Mapping!$F$2:$F$181,0)) = 0, IF(INDEX(Mapping!$I$2:$I$181,MATCH($A34,Mapping!$F$2:$F$181,0)) = 0, $A34, INDEX(Mapping!$I$2:$I$181,MATCH($A34,Mapping!$F$2:$F$181,0))), INDEX(Mapping!$G$2:$G$181,MATCH($A34,Mapping!$F$2:$F$181,0))), "")</f>
        <v>res index</v>
      </c>
      <c r="C34" s="1" t="str">
        <f>IFERROR(IF(INDEX(Mapping!$I$2:$I$181,MATCH($A34,Mapping!$F$2:$F$181,0)) = 0, "Metadata", INDEX(Mapping!$I$2:$I$181,MATCH($A34,Mapping!$F$2:$F$181,0))), "")</f>
        <v>res index</v>
      </c>
      <c r="D34" s="20" t="str">
        <f>IFERROR(IF(INDEX(Mapping!$H$2:$H$181,MATCH($A34,Mapping!$F$2:$F$181,0)) = 0, "", INDEX(Mapping!$H$2:$H$181,MATCH($A34,Mapping!$F$2:$F$181,0))), "")</f>
        <v>SoftBin (Index)</v>
      </c>
      <c r="E34" s="1" t="str">
        <f>IFERROR(IF(INDEX(Mapping!$C$2:$C$181,MATCH($A34,Mapping!$F$2:$F$181,0)) = 0, "", INDEX(Mapping!$C$2:$C$181,MATCH($A34,Mapping!$F$2:$F$181,0))), "")</f>
        <v>File/Lot/Wafer/ParametricData/Unit[SoftBin]</v>
      </c>
      <c r="F34" s="20" t="str">
        <f>IFERROR(IF(INDEX(Mapping!$D$2:$D$181,MATCH($A34,Mapping!$F$2:$F$181,0)) = 0, "", INDEX(Mapping!$D$2:$D$181,MATCH($A34,Mapping!$F$2:$F$181,0))), "")</f>
        <v/>
      </c>
      <c r="G34" s="20" t="str">
        <f>IFERROR(IF(INDEX(Mapping!$E$2:$E$181,MATCH($A34,Mapping!$F$2:$F$181,0)) = 0, "", INDEX(Mapping!$E$2:$E$181,MATCH($A34,Mapping!$F$2:$F$181,0))), "")</f>
        <v/>
      </c>
      <c r="H34" s="1"/>
    </row>
    <row r="35" spans="1:8" x14ac:dyDescent="0.25">
      <c r="A35" s="1" t="s">
        <v>13</v>
      </c>
      <c r="B35" s="1" t="str">
        <f>IFERROR(IF(INDEX(Mapping!$G$2:$G$181,MATCH($A35,Mapping!$F$2:$F$181,0)) = 0, IF(INDEX(Mapping!$I$2:$I$181,MATCH($A35,Mapping!$F$2:$F$181,0)) = 0, $A35, INDEX(Mapping!$I$2:$I$181,MATCH($A35,Mapping!$F$2:$F$181,0))), INDEX(Mapping!$G$2:$G$181,MATCH($A35,Mapping!$F$2:$F$181,0))), "")</f>
        <v>Program Group</v>
      </c>
      <c r="C35" s="1" t="str">
        <f>IFERROR(IF(INDEX(Mapping!$I$2:$I$181,MATCH($A35,Mapping!$F$2:$F$181,0)) = 0, "Metadata", INDEX(Mapping!$I$2:$I$181,MATCH($A35,Mapping!$F$2:$F$181,0))), "")</f>
        <v>Metadata</v>
      </c>
      <c r="D35" s="20" t="str">
        <f>IFERROR(IF(INDEX(Mapping!$H$2:$H$181,MATCH($A35,Mapping!$F$2:$F$181,0)) = 0, "", INDEX(Mapping!$H$2:$H$181,MATCH($A35,Mapping!$F$2:$F$181,0))), "")</f>
        <v>vDbProgGroup</v>
      </c>
      <c r="E35" s="1" t="str">
        <f>IFERROR(IF(INDEX(Mapping!$C$2:$C$181,MATCH($A35,Mapping!$F$2:$F$181,0)) = 0, "", INDEX(Mapping!$C$2:$C$181,MATCH($A35,Mapping!$F$2:$F$181,0))), "")</f>
        <v>[Program Group]</v>
      </c>
      <c r="F35" s="20" t="str">
        <f>IFERROR(IF(INDEX(Mapping!$D$2:$D$181,MATCH($A35,Mapping!$F$2:$F$181,0)) = 0, "", INDEX(Mapping!$D$2:$D$181,MATCH($A35,Mapping!$F$2:$F$181,0))), "")</f>
        <v>ProgramGroup</v>
      </c>
      <c r="G35" s="20" t="str">
        <f>IFERROR(IF(INDEX(Mapping!$E$2:$E$181,MATCH($A35,Mapping!$F$2:$F$181,0)) = 0, "", INDEX(Mapping!$E$2:$E$181,MATCH($A35,Mapping!$F$2:$F$181,0))), "")</f>
        <v/>
      </c>
      <c r="H35" s="1"/>
    </row>
    <row r="36" spans="1:8" x14ac:dyDescent="0.25">
      <c r="A36" s="1" t="s">
        <v>52</v>
      </c>
      <c r="B36" s="1" t="str">
        <f>IFERROR(IF(INDEX(Mapping!$G$2:$G$181,MATCH($A36,Mapping!$F$2:$F$181,0)) = 0, IF(INDEX(Mapping!$I$2:$I$181,MATCH($A36,Mapping!$F$2:$F$181,0)) = 0, $A36, INDEX(Mapping!$I$2:$I$181,MATCH($A36,Mapping!$F$2:$F$181,0))), INDEX(Mapping!$G$2:$G$181,MATCH($A36,Mapping!$F$2:$F$181,0))), "")</f>
        <v>op_log linked index 1</v>
      </c>
      <c r="C36" s="1" t="str">
        <f>IFERROR(IF(INDEX(Mapping!$I$2:$I$181,MATCH($A36,Mapping!$F$2:$F$181,0)) = 0, "Metadata", INDEX(Mapping!$I$2:$I$181,MATCH($A36,Mapping!$F$2:$F$181,0))), "")</f>
        <v>op_log linked index 1</v>
      </c>
      <c r="D36" s="20" t="str">
        <f>IFERROR(IF(INDEX(Mapping!$H$2:$H$181,MATCH($A36,Mapping!$F$2:$F$181,0)) = 0, "", INDEX(Mapping!$H$2:$H$181,MATCH($A36,Mapping!$F$2:$F$181,0))), "")</f>
        <v>DbMetaData("Area", vArea)</v>
      </c>
      <c r="E36" s="1" t="str">
        <f>IFERROR(IF(INDEX(Mapping!$C$2:$C$181,MATCH($A36,Mapping!$F$2:$F$181,0)) = 0, "", INDEX(Mapping!$C$2:$C$181,MATCH($A36,Mapping!$F$2:$F$181,0))), "")</f>
        <v>[Area]</v>
      </c>
      <c r="F36" s="20" t="str">
        <f>IFERROR(IF(INDEX(Mapping!$D$2:$D$181,MATCH($A36,Mapping!$F$2:$F$181,0)) = 0, "", INDEX(Mapping!$D$2:$D$181,MATCH($A36,Mapping!$F$2:$F$181,0))), "")</f>
        <v/>
      </c>
      <c r="G36" s="20" t="str">
        <f>IFERROR(IF(INDEX(Mapping!$E$2:$E$181,MATCH($A36,Mapping!$F$2:$F$181,0)) = 0, "", INDEX(Mapping!$E$2:$E$181,MATCH($A36,Mapping!$F$2:$F$181,0))), "")</f>
        <v/>
      </c>
      <c r="H36" s="1"/>
    </row>
    <row r="37" spans="1:8" x14ac:dyDescent="0.25">
      <c r="A37" s="1" t="s">
        <v>319</v>
      </c>
      <c r="B37" s="1" t="str">
        <f>IFERROR(IF(INDEX(Mapping!$G$2:$G$181,MATCH($A37,Mapping!$F$2:$F$181,0)) = 0, IF(INDEX(Mapping!$I$2:$I$181,MATCH($A37,Mapping!$F$2:$F$181,0)) = 0, $A37, INDEX(Mapping!$I$2:$I$181,MATCH($A37,Mapping!$F$2:$F$181,0))), INDEX(Mapping!$G$2:$G$181,MATCH($A37,Mapping!$F$2:$F$181,0))), "")</f>
        <v>res index</v>
      </c>
      <c r="C37" s="1" t="str">
        <f>IFERROR(IF(INDEX(Mapping!$I$2:$I$181,MATCH($A37,Mapping!$F$2:$F$181,0)) = 0, "Metadata", INDEX(Mapping!$I$2:$I$181,MATCH($A37,Mapping!$F$2:$F$181,0))), "")</f>
        <v>res index</v>
      </c>
      <c r="D37" s="20" t="str">
        <f>IFERROR(IF(INDEX(Mapping!$H$2:$H$181,MATCH($A37,Mapping!$F$2:$F$181,0)) = 0, "", INDEX(Mapping!$H$2:$H$181,MATCH($A37,Mapping!$F$2:$F$181,0))), "")</f>
        <v>(Index)</v>
      </c>
      <c r="E37" s="1" t="str">
        <f>IFERROR(IF(INDEX(Mapping!$C$2:$C$181,MATCH($A37,Mapping!$F$2:$F$181,0)) = 0, "", INDEX(Mapping!$C$2:$C$181,MATCH($A37,Mapping!$F$2:$F$181,0))), "")</f>
        <v>[Reticle Id]</v>
      </c>
      <c r="F37" s="20" t="str">
        <f>IFERROR(IF(INDEX(Mapping!$D$2:$D$181,MATCH($A37,Mapping!$F$2:$F$181,0)) = 0, "", INDEX(Mapping!$D$2:$D$181,MATCH($A37,Mapping!$F$2:$F$181,0))), "")</f>
        <v/>
      </c>
      <c r="G37" s="20" t="str">
        <f>IFERROR(IF(INDEX(Mapping!$E$2:$E$181,MATCH($A37,Mapping!$F$2:$F$181,0)) = 0, "", INDEX(Mapping!$E$2:$E$181,MATCH($A37,Mapping!$F$2:$F$181,0))), "")</f>
        <v/>
      </c>
      <c r="H37" s="1"/>
    </row>
    <row r="38" spans="1:8" x14ac:dyDescent="0.25">
      <c r="A38" s="1" t="s">
        <v>162</v>
      </c>
      <c r="B38" s="1" t="str">
        <f>IFERROR(IF(INDEX(Mapping!$G$2:$G$181,MATCH($A38,Mapping!$F$2:$F$181,0)) = 0, IF(INDEX(Mapping!$I$2:$I$181,MATCH($A38,Mapping!$F$2:$F$181,0)) = 0, $A38, INDEX(Mapping!$I$2:$I$181,MATCH($A38,Mapping!$F$2:$F$181,0))), INDEX(Mapping!$G$2:$G$181,MATCH($A38,Mapping!$F$2:$F$181,0))), "")</f>
        <v>Silicon Vendor Name</v>
      </c>
      <c r="C38" s="1" t="str">
        <f>IFERROR(IF(INDEX(Mapping!$I$2:$I$181,MATCH($A38,Mapping!$F$2:$F$181,0)) = 0, "Metadata", INDEX(Mapping!$I$2:$I$181,MATCH($A38,Mapping!$F$2:$F$181,0))), "")</f>
        <v>Metadata</v>
      </c>
      <c r="D38" s="20" t="str">
        <f>IFERROR(IF(INDEX(Mapping!$H$2:$H$181,MATCH($A38,Mapping!$F$2:$F$181,0)) = 0, "", INDEX(Mapping!$H$2:$H$181,MATCH($A38,Mapping!$F$2:$F$181,0))), "")</f>
        <v/>
      </c>
      <c r="E38" s="1" t="str">
        <f>IFERROR(IF(INDEX(Mapping!$C$2:$C$181,MATCH($A38,Mapping!$F$2:$F$181,0)) = 0, "", INDEX(Mapping!$C$2:$C$181,MATCH($A38,Mapping!$F$2:$F$181,0))), "")</f>
        <v/>
      </c>
      <c r="F38" s="20" t="str">
        <f>IFERROR(IF(INDEX(Mapping!$D$2:$D$181,MATCH($A38,Mapping!$F$2:$F$181,0)) = 0, "", INDEX(Mapping!$D$2:$D$181,MATCH($A38,Mapping!$F$2:$F$181,0))), "")</f>
        <v/>
      </c>
      <c r="G38" s="20" t="str">
        <f>IFERROR(IF(INDEX(Mapping!$E$2:$E$181,MATCH($A38,Mapping!$F$2:$F$181,0)) = 0, "", INDEX(Mapping!$E$2:$E$181,MATCH($A38,Mapping!$F$2:$F$181,0))), "")</f>
        <v/>
      </c>
      <c r="H38" s="1"/>
    </row>
    <row r="39" spans="1:8" x14ac:dyDescent="0.25">
      <c r="A39" s="1" t="s">
        <v>163</v>
      </c>
      <c r="B39" s="1" t="str">
        <f>IFERROR(IF(INDEX(Mapping!$G$2:$G$181,MATCH($A39,Mapping!$F$2:$F$181,0)) = 0, IF(INDEX(Mapping!$I$2:$I$181,MATCH($A39,Mapping!$F$2:$F$181,0)) = 0, $A39, INDEX(Mapping!$I$2:$I$181,MATCH($A39,Mapping!$F$2:$F$181,0))), INDEX(Mapping!$G$2:$G$181,MATCH($A39,Mapping!$F$2:$F$181,0))), "")</f>
        <v>Inventory Lot #</v>
      </c>
      <c r="C39" s="1" t="str">
        <f>IFERROR(IF(INDEX(Mapping!$I$2:$I$181,MATCH($A39,Mapping!$F$2:$F$181,0)) = 0, "Metadata", INDEX(Mapping!$I$2:$I$181,MATCH($A39,Mapping!$F$2:$F$181,0))), "")</f>
        <v>Metadata</v>
      </c>
      <c r="D39" s="20" t="str">
        <f>IFERROR(IF(INDEX(Mapping!$H$2:$H$181,MATCH($A39,Mapping!$F$2:$F$181,0)) = 0, "", INDEX(Mapping!$H$2:$H$181,MATCH($A39,Mapping!$F$2:$F$181,0))), "")</f>
        <v/>
      </c>
      <c r="E39" s="1" t="str">
        <f>IFERROR(IF(INDEX(Mapping!$C$2:$C$181,MATCH($A39,Mapping!$F$2:$F$181,0)) = 0, "", INDEX(Mapping!$C$2:$C$181,MATCH($A39,Mapping!$F$2:$F$181,0))), "")</f>
        <v/>
      </c>
      <c r="F39" s="20" t="str">
        <f>IFERROR(IF(INDEX(Mapping!$D$2:$D$181,MATCH($A39,Mapping!$F$2:$F$181,0)) = 0, "", INDEX(Mapping!$D$2:$D$181,MATCH($A39,Mapping!$F$2:$F$181,0))), "")</f>
        <v/>
      </c>
      <c r="G39" s="20" t="str">
        <f>IFERROR(IF(INDEX(Mapping!$E$2:$E$181,MATCH($A39,Mapping!$F$2:$F$181,0)) = 0, "", INDEX(Mapping!$E$2:$E$181,MATCH($A39,Mapping!$F$2:$F$181,0))), "")</f>
        <v/>
      </c>
      <c r="H39" s="1"/>
    </row>
    <row r="40" spans="1:8" x14ac:dyDescent="0.25">
      <c r="A40" s="1" t="s">
        <v>164</v>
      </c>
      <c r="B40" s="1" t="str">
        <f>IFERROR(IF(INDEX(Mapping!$G$2:$G$181,MATCH($A40,Mapping!$F$2:$F$181,0)) = 0, IF(INDEX(Mapping!$I$2:$I$181,MATCH($A40,Mapping!$F$2:$F$181,0)) = 0, $A40, INDEX(Mapping!$I$2:$I$181,MATCH($A40,Mapping!$F$2:$F$181,0))), INDEX(Mapping!$G$2:$G$181,MATCH($A40,Mapping!$F$2:$F$181,0))), "")</f>
        <v>Silicon Lot</v>
      </c>
      <c r="C40" s="1" t="str">
        <f>IFERROR(IF(INDEX(Mapping!$I$2:$I$181,MATCH($A40,Mapping!$F$2:$F$181,0)) = 0, "Metadata", INDEX(Mapping!$I$2:$I$181,MATCH($A40,Mapping!$F$2:$F$181,0))), "")</f>
        <v>Metadata</v>
      </c>
      <c r="D40" s="20" t="str">
        <f>IFERROR(IF(INDEX(Mapping!$H$2:$H$181,MATCH($A40,Mapping!$F$2:$F$181,0)) = 0, "", INDEX(Mapping!$H$2:$H$181,MATCH($A40,Mapping!$F$2:$F$181,0))), "")</f>
        <v/>
      </c>
      <c r="E40" s="1" t="str">
        <f>IFERROR(IF(INDEX(Mapping!$C$2:$C$181,MATCH($A40,Mapping!$F$2:$F$181,0)) = 0, "", INDEX(Mapping!$C$2:$C$181,MATCH($A40,Mapping!$F$2:$F$181,0))), "")</f>
        <v/>
      </c>
      <c r="F40" s="20" t="str">
        <f>IFERROR(IF(INDEX(Mapping!$D$2:$D$181,MATCH($A40,Mapping!$F$2:$F$181,0)) = 0, "", INDEX(Mapping!$D$2:$D$181,MATCH($A40,Mapping!$F$2:$F$181,0))), "")</f>
        <v/>
      </c>
      <c r="G40" s="20" t="str">
        <f>IFERROR(IF(INDEX(Mapping!$E$2:$E$181,MATCH($A40,Mapping!$F$2:$F$181,0)) = 0, "", INDEX(Mapping!$E$2:$E$181,MATCH($A40,Mapping!$F$2:$F$181,0))), "")</f>
        <v/>
      </c>
      <c r="H40" s="1"/>
    </row>
    <row r="41" spans="1:8" x14ac:dyDescent="0.25">
      <c r="A41" s="1" t="s">
        <v>69</v>
      </c>
      <c r="B41" s="1" t="str">
        <f>IFERROR(IF(INDEX(Mapping!$G$2:$G$181,MATCH($A41,Mapping!$F$2:$F$181,0)) = 0, IF(INDEX(Mapping!$I$2:$I$181,MATCH($A41,Mapping!$F$2:$F$181,0)) = 0, $A41, INDEX(Mapping!$I$2:$I$181,MATCH($A41,Mapping!$F$2:$F$181,0))), INDEX(Mapping!$G$2:$G$181,MATCH($A41,Mapping!$F$2:$F$181,0))), "")</f>
        <v>Family (PTI2)</v>
      </c>
      <c r="C41" s="1" t="str">
        <f>IFERROR(IF(INDEX(Mapping!$I$2:$I$181,MATCH($A41,Mapping!$F$2:$F$181,0)) = 0, "Metadata", INDEX(Mapping!$I$2:$I$181,MATCH($A41,Mapping!$F$2:$F$181,0))), "")</f>
        <v>Metadata</v>
      </c>
      <c r="D41" s="20" t="str">
        <f>IFERROR(IF(INDEX(Mapping!$H$2:$H$181,MATCH($A41,Mapping!$F$2:$F$181,0)) = 0, "", INDEX(Mapping!$H$2:$H$181,MATCH($A41,Mapping!$F$2:$F$181,0))), "")</f>
        <v>vDbFamily</v>
      </c>
      <c r="E41" s="1" t="str">
        <f>IFERROR(IF(INDEX(Mapping!$C$2:$C$181,MATCH($A41,Mapping!$F$2:$F$181,0)) = 0, "", INDEX(Mapping!$C$2:$C$181,MATCH($A41,Mapping!$F$2:$F$181,0))), "")</f>
        <v/>
      </c>
      <c r="F41" s="20" t="str">
        <f>IFERROR(IF(INDEX(Mapping!$D$2:$D$181,MATCH($A41,Mapping!$F$2:$F$181,0)) = 0, "", INDEX(Mapping!$D$2:$D$181,MATCH($A41,Mapping!$F$2:$F$181,0))), "")</f>
        <v>Family</v>
      </c>
      <c r="G41" s="20" t="str">
        <f>IFERROR(IF(INDEX(Mapping!$E$2:$E$181,MATCH($A41,Mapping!$F$2:$F$181,0)) = 0, "", INDEX(Mapping!$E$2:$E$181,MATCH($A41,Mapping!$F$2:$F$181,0))), "")</f>
        <v/>
      </c>
      <c r="H41" s="1"/>
    </row>
    <row r="42" spans="1:8" x14ac:dyDescent="0.25">
      <c r="A42" s="1" t="s">
        <v>72</v>
      </c>
      <c r="B42" s="1" t="str">
        <f>IFERROR(IF(INDEX(Mapping!$G$2:$G$181,MATCH($A42,Mapping!$F$2:$F$181,0)) = 0, IF(INDEX(Mapping!$I$2:$I$181,MATCH($A42,Mapping!$F$2:$F$181,0)) = 0, $A42, INDEX(Mapping!$I$2:$I$181,MATCH($A42,Mapping!$F$2:$F$181,0))), INDEX(Mapping!$G$2:$G$181,MATCH($A42,Mapping!$F$2:$F$181,0))), "")</f>
        <v>Process</v>
      </c>
      <c r="C42" s="1" t="str">
        <f>IFERROR(IF(INDEX(Mapping!$I$2:$I$181,MATCH($A42,Mapping!$F$2:$F$181,0)) = 0, "Metadata", INDEX(Mapping!$I$2:$I$181,MATCH($A42,Mapping!$F$2:$F$181,0))), "")</f>
        <v>Metadata</v>
      </c>
      <c r="D42" s="20" t="str">
        <f>IFERROR(IF(INDEX(Mapping!$H$2:$H$181,MATCH($A42,Mapping!$F$2:$F$181,0)) = 0, "", INDEX(Mapping!$H$2:$H$181,MATCH($A42,Mapping!$F$2:$F$181,0))), "")</f>
        <v>vDbProcess</v>
      </c>
      <c r="E42" s="1" t="str">
        <f>IFERROR(IF(INDEX(Mapping!$C$2:$C$181,MATCH($A42,Mapping!$F$2:$F$181,0)) = 0, "", INDEX(Mapping!$C$2:$C$181,MATCH($A42,Mapping!$F$2:$F$181,0))), "")</f>
        <v/>
      </c>
      <c r="F42" s="20" t="str">
        <f>IFERROR(IF(INDEX(Mapping!$D$2:$D$181,MATCH($A42,Mapping!$F$2:$F$181,0)) = 0, "", INDEX(Mapping!$D$2:$D$181,MATCH($A42,Mapping!$F$2:$F$181,0))), "")</f>
        <v>Process</v>
      </c>
      <c r="G42" s="20" t="str">
        <f>IFERROR(IF(INDEX(Mapping!$E$2:$E$181,MATCH($A42,Mapping!$F$2:$F$181,0)) = 0, "", INDEX(Mapping!$E$2:$E$181,MATCH($A42,Mapping!$F$2:$F$181,0))), "")</f>
        <v/>
      </c>
      <c r="H42" s="1"/>
    </row>
    <row r="43" spans="1:8" x14ac:dyDescent="0.25">
      <c r="A43" s="1" t="s">
        <v>75</v>
      </c>
      <c r="B43" s="1" t="str">
        <f>IFERROR(IF(INDEX(Mapping!$G$2:$G$181,MATCH($A43,Mapping!$F$2:$F$181,0)) = 0, IF(INDEX(Mapping!$I$2:$I$181,MATCH($A43,Mapping!$F$2:$F$181,0)) = 0, $A43, INDEX(Mapping!$I$2:$I$181,MATCH($A43,Mapping!$F$2:$F$181,0))), INDEX(Mapping!$G$2:$G$181,MATCH($A43,Mapping!$F$2:$F$181,0))), "")</f>
        <v>Technology</v>
      </c>
      <c r="C43" s="1" t="str">
        <f>IFERROR(IF(INDEX(Mapping!$I$2:$I$181,MATCH($A43,Mapping!$F$2:$F$181,0)) = 0, "Metadata", INDEX(Mapping!$I$2:$I$181,MATCH($A43,Mapping!$F$2:$F$181,0))), "")</f>
        <v>Metadata</v>
      </c>
      <c r="D43" s="20" t="str">
        <f>IFERROR(IF(INDEX(Mapping!$H$2:$H$181,MATCH($A43,Mapping!$F$2:$F$181,0)) = 0, "", INDEX(Mapping!$H$2:$H$181,MATCH($A43,Mapping!$F$2:$F$181,0))), "")</f>
        <v>vDbTechnology</v>
      </c>
      <c r="E43" s="1" t="str">
        <f>IFERROR(IF(INDEX(Mapping!$C$2:$C$181,MATCH($A43,Mapping!$F$2:$F$181,0)) = 0, "", INDEX(Mapping!$C$2:$C$181,MATCH($A43,Mapping!$F$2:$F$181,0))), "")</f>
        <v/>
      </c>
      <c r="F43" s="20" t="str">
        <f>IFERROR(IF(INDEX(Mapping!$D$2:$D$181,MATCH($A43,Mapping!$F$2:$F$181,0)) = 0, "", INDEX(Mapping!$D$2:$D$181,MATCH($A43,Mapping!$F$2:$F$181,0))), "")</f>
        <v>Technology</v>
      </c>
      <c r="G43" s="20" t="str">
        <f>IFERROR(IF(INDEX(Mapping!$E$2:$E$181,MATCH($A43,Mapping!$F$2:$F$181,0)) = 0, "", INDEX(Mapping!$E$2:$E$181,MATCH($A43,Mapping!$F$2:$F$181,0))), "")</f>
        <v/>
      </c>
      <c r="H43" s="1"/>
    </row>
    <row r="44" spans="1:8" x14ac:dyDescent="0.25">
      <c r="A44" s="1" t="s">
        <v>87</v>
      </c>
      <c r="B44" s="1" t="str">
        <f>IFERROR(IF(INDEX(Mapping!$G$2:$G$181,MATCH($A44,Mapping!$F$2:$F$181,0)) = 0, IF(INDEX(Mapping!$I$2:$I$181,MATCH($A44,Mapping!$F$2:$F$181,0)) = 0, $A44, INDEX(Mapping!$I$2:$I$181,MATCH($A44,Mapping!$F$2:$F$181,0))), INDEX(Mapping!$G$2:$G$181,MATCH($A44,Mapping!$F$2:$F$181,0))), "")</f>
        <v>Wafer ID</v>
      </c>
      <c r="C44" s="1" t="str">
        <f>IFERROR(IF(INDEX(Mapping!$I$2:$I$181,MATCH($A44,Mapping!$F$2:$F$181,0)) = 0, "Metadata", INDEX(Mapping!$I$2:$I$181,MATCH($A44,Mapping!$F$2:$F$181,0))), "")</f>
        <v>Metadata</v>
      </c>
      <c r="D44" s="20" t="str">
        <f>IFERROR(IF(INDEX(Mapping!$H$2:$H$181,MATCH($A44,Mapping!$F$2:$F$181,0)) = 0, "", INDEX(Mapping!$H$2:$H$181,MATCH($A44,Mapping!$F$2:$F$181,0))), "")</f>
        <v>vDbWaferIndex</v>
      </c>
      <c r="E44" s="1" t="str">
        <f>IFERROR(IF(INDEX(Mapping!$C$2:$C$181,MATCH($A44,Mapping!$F$2:$F$181,0)) = 0, "", INDEX(Mapping!$C$2:$C$181,MATCH($A44,Mapping!$F$2:$F$181,0))), "")</f>
        <v/>
      </c>
      <c r="F44" s="20" t="str">
        <f>IFERROR(IF(INDEX(Mapping!$D$2:$D$181,MATCH($A44,Mapping!$F$2:$F$181,0)) = 0, "", INDEX(Mapping!$D$2:$D$181,MATCH($A44,Mapping!$F$2:$F$181,0))), "")</f>
        <v>WaferId</v>
      </c>
      <c r="G44" s="20" t="str">
        <f>IFERROR(IF(INDEX(Mapping!$E$2:$E$181,MATCH($A44,Mapping!$F$2:$F$181,0)) = 0, "", INDEX(Mapping!$E$2:$E$181,MATCH($A44,Mapping!$F$2:$F$181,0))), "")</f>
        <v/>
      </c>
      <c r="H44" s="1"/>
    </row>
    <row r="45" spans="1:8" x14ac:dyDescent="0.25">
      <c r="A45" s="1" t="s">
        <v>95</v>
      </c>
      <c r="B45" s="1" t="str">
        <f>IFERROR(IF(INDEX(Mapping!$G$2:$G$181,MATCH($A45,Mapping!$F$2:$F$181,0)) = 0, IF(INDEX(Mapping!$I$2:$I$181,MATCH($A45,Mapping!$F$2:$F$181,0)) = 0, $A45, INDEX(Mapping!$I$2:$I$181,MATCH($A45,Mapping!$F$2:$F$181,0))), INDEX(Mapping!$G$2:$G$181,MATCH($A45,Mapping!$F$2:$F$181,0))), "")</f>
        <v>Scribe ID</v>
      </c>
      <c r="C45" s="1" t="str">
        <f>IFERROR(IF(INDEX(Mapping!$I$2:$I$181,MATCH($A45,Mapping!$F$2:$F$181,0)) = 0, "Metadata", INDEX(Mapping!$I$2:$I$181,MATCH($A45,Mapping!$F$2:$F$181,0))), "")</f>
        <v>Metadata</v>
      </c>
      <c r="D45" s="20" t="str">
        <f>IFERROR(IF(INDEX(Mapping!$H$2:$H$181,MATCH($A45,Mapping!$F$2:$F$181,0)) = 0, "", INDEX(Mapping!$H$2:$H$181,MATCH($A45,Mapping!$F$2:$F$181,0))), "")</f>
        <v>vDbWaferClass</v>
      </c>
      <c r="E45" s="1" t="str">
        <f>IFERROR(IF(INDEX(Mapping!$C$2:$C$181,MATCH($A45,Mapping!$F$2:$F$181,0)) = 0, "", INDEX(Mapping!$C$2:$C$181,MATCH($A45,Mapping!$F$2:$F$181,0))), "")</f>
        <v/>
      </c>
      <c r="F45" s="20" t="str">
        <f>IFERROR(IF(INDEX(Mapping!$D$2:$D$181,MATCH($A45,Mapping!$F$2:$F$181,0)) = 0, "", INDEX(Mapping!$D$2:$D$181,MATCH($A45,Mapping!$F$2:$F$181,0))), "")</f>
        <v>ScribeId</v>
      </c>
      <c r="G45" s="20" t="str">
        <f>IFERROR(IF(INDEX(Mapping!$E$2:$E$181,MATCH($A45,Mapping!$F$2:$F$181,0)) = 0, "", INDEX(Mapping!$E$2:$E$181,MATCH($A45,Mapping!$F$2:$F$181,0))), "")</f>
        <v/>
      </c>
      <c r="H45" s="1"/>
    </row>
    <row r="46" spans="1:8" x14ac:dyDescent="0.25">
      <c r="A46" s="1" t="s">
        <v>289</v>
      </c>
      <c r="B46" s="1" t="str">
        <f>IFERROR(IF(INDEX(Mapping!$G$2:$G$181,MATCH($A46,Mapping!$F$2:$F$181,0)) = 0, IF(INDEX(Mapping!$I$2:$I$181,MATCH($A46,Mapping!$F$2:$F$181,0)) = 0, $A46, INDEX(Mapping!$I$2:$I$181,MATCH($A46,Mapping!$F$2:$F$181,0))), INDEX(Mapping!$G$2:$G$181,MATCH($A46,Mapping!$F$2:$F$181,0))), "")</f>
        <v>Measuring Equipment</v>
      </c>
      <c r="C46" s="1" t="str">
        <f>IFERROR(IF(INDEX(Mapping!$I$2:$I$181,MATCH($A46,Mapping!$F$2:$F$181,0)) = 0, "Metadata", INDEX(Mapping!$I$2:$I$181,MATCH($A46,Mapping!$F$2:$F$181,0))), "")</f>
        <v>Equip[1]</v>
      </c>
      <c r="D46" s="20" t="str">
        <f>IFERROR(IF(INDEX(Mapping!$H$2:$H$181,MATCH($A46,Mapping!$F$2:$F$181,0)) = 0, "", INDEX(Mapping!$H$2:$H$181,MATCH($A46,Mapping!$F$2:$F$181,0))), "")</f>
        <v>vDbEquip1</v>
      </c>
      <c r="E46" s="1" t="str">
        <f>IFERROR(IF(INDEX(Mapping!$C$2:$C$181,MATCH($A46,Mapping!$F$2:$F$181,0)) = 0, "", INDEX(Mapping!$C$2:$C$181,MATCH($A46,Mapping!$F$2:$F$181,0))), "")</f>
        <v>File/Lot[Tester/Tool ID]</v>
      </c>
      <c r="F46" s="20" t="str">
        <f>IFERROR(IF(INDEX(Mapping!$D$2:$D$181,MATCH($A46,Mapping!$F$2:$F$181,0)) = 0, "", INDEX(Mapping!$D$2:$D$181,MATCH($A46,Mapping!$F$2:$F$181,0))), "")</f>
        <v>MeasuringEquipment</v>
      </c>
      <c r="G46" s="20" t="str">
        <f>IFERROR(IF(INDEX(Mapping!$E$2:$E$181,MATCH($A46,Mapping!$F$2:$F$181,0)) = 0, "", INDEX(Mapping!$E$2:$E$181,MATCH($A46,Mapping!$F$2:$F$181,0))), "")</f>
        <v/>
      </c>
      <c r="H46" s="1" t="s">
        <v>442</v>
      </c>
    </row>
    <row r="47" spans="1:8" x14ac:dyDescent="0.25">
      <c r="A47" s="1" t="s">
        <v>416</v>
      </c>
      <c r="B47" s="1" t="str">
        <f>IFERROR(IF(INDEX(Mapping!$G$2:$G$181,MATCH($A47,Mapping!$F$2:$F$181,0)) = 0, IF(INDEX(Mapping!$I$2:$I$181,MATCH($A47,Mapping!$F$2:$F$181,0)) = 0, $A47, INDEX(Mapping!$I$2:$I$181,MATCH($A47,Mapping!$F$2:$F$181,0))), INDEX(Mapping!$G$2:$G$181,MATCH($A47,Mapping!$F$2:$F$181,0))), "")</f>
        <v>Equip[2] Type</v>
      </c>
      <c r="C47" s="1" t="str">
        <f>IFERROR(IF(INDEX(Mapping!$I$2:$I$181,MATCH($A47,Mapping!$F$2:$F$181,0)) = 0, "Metadata", INDEX(Mapping!$I$2:$I$181,MATCH($A47,Mapping!$F$2:$F$181,0))), "")</f>
        <v>Equip[2] Type</v>
      </c>
      <c r="D47" s="20" t="str">
        <f>IFERROR(IF(INDEX(Mapping!$H$2:$H$181,MATCH($A47,Mapping!$F$2:$F$181,0)) = 0, "", INDEX(Mapping!$H$2:$H$181,MATCH($A47,Mapping!$F$2:$F$181,0))), "")</f>
        <v/>
      </c>
      <c r="E47" s="1" t="str">
        <f>IFERROR(IF(INDEX(Mapping!$C$2:$C$181,MATCH($A47,Mapping!$F$2:$F$181,0)) = 0, "", INDEX(Mapping!$C$2:$C$181,MATCH($A47,Mapping!$F$2:$F$181,0))), "")</f>
        <v>[Probe ID Type]</v>
      </c>
      <c r="F47" s="20" t="str">
        <f>IFERROR(IF(INDEX(Mapping!$D$2:$D$181,MATCH($A47,Mapping!$F$2:$F$181,0)) = 0, "", INDEX(Mapping!$D$2:$D$181,MATCH($A47,Mapping!$F$2:$F$181,0))), "")</f>
        <v/>
      </c>
      <c r="G47" s="20" t="str">
        <f>IFERROR(IF(INDEX(Mapping!$E$2:$E$181,MATCH($A47,Mapping!$F$2:$F$181,0)) = 0, "", INDEX(Mapping!$E$2:$E$181,MATCH($A47,Mapping!$F$2:$F$181,0))), "")</f>
        <v>SDR.HAND_TYP</v>
      </c>
      <c r="H47" s="1"/>
    </row>
    <row r="48" spans="1:8" x14ac:dyDescent="0.25">
      <c r="A48" s="1" t="s">
        <v>110</v>
      </c>
      <c r="B48" s="1" t="str">
        <f>IFERROR(IF(INDEX(Mapping!$G$2:$G$181,MATCH($A48,Mapping!$F$2:$F$181,0)) = 0, IF(INDEX(Mapping!$I$2:$I$181,MATCH($A48,Mapping!$F$2:$F$181,0)) = 0, $A48, INDEX(Mapping!$I$2:$I$181,MATCH($A48,Mapping!$F$2:$F$181,0))), INDEX(Mapping!$G$2:$G$181,MATCH($A48,Mapping!$F$2:$F$181,0))), "")</f>
        <v>Equip[3] Type</v>
      </c>
      <c r="C48" s="1" t="str">
        <f>IFERROR(IF(INDEX(Mapping!$I$2:$I$181,MATCH($A48,Mapping!$F$2:$F$181,0)) = 0, "Metadata", INDEX(Mapping!$I$2:$I$181,MATCH($A48,Mapping!$F$2:$F$181,0))), "")</f>
        <v>Equip[3] Type</v>
      </c>
      <c r="D48" s="20" t="str">
        <f>IFERROR(IF(INDEX(Mapping!$H$2:$H$181,MATCH($A48,Mapping!$F$2:$F$181,0)) = 0, "", INDEX(Mapping!$H$2:$H$181,MATCH($A48,Mapping!$F$2:$F$181,0))), "")</f>
        <v/>
      </c>
      <c r="E48" s="1" t="str">
        <f>IFERROR(IF(INDEX(Mapping!$C$2:$C$181,MATCH($A48,Mapping!$F$2:$F$181,0)) = 0, "", INDEX(Mapping!$C$2:$C$181,MATCH($A48,Mapping!$F$2:$F$181,0))), "")</f>
        <v>[Probe Card Type]</v>
      </c>
      <c r="F48" s="20" t="str">
        <f>IFERROR(IF(INDEX(Mapping!$D$2:$D$181,MATCH($A48,Mapping!$F$2:$F$181,0)) = 0, "", INDEX(Mapping!$D$2:$D$181,MATCH($A48,Mapping!$F$2:$F$181,0))), "")</f>
        <v/>
      </c>
      <c r="G48" s="20" t="str">
        <f>IFERROR(IF(INDEX(Mapping!$E$2:$E$181,MATCH($A48,Mapping!$F$2:$F$181,0)) = 0, "", INDEX(Mapping!$E$2:$E$181,MATCH($A48,Mapping!$F$2:$F$181,0))), "")</f>
        <v>SDR.CARD_TYP</v>
      </c>
      <c r="H48" s="1"/>
    </row>
    <row r="49" spans="1:8" x14ac:dyDescent="0.25">
      <c r="A49" s="1" t="s">
        <v>293</v>
      </c>
      <c r="B49" s="1" t="str">
        <f>IFERROR(IF(INDEX(Mapping!$G$2:$G$181,MATCH($A49,Mapping!$F$2:$F$181,0)) = 0, IF(INDEX(Mapping!$I$2:$I$181,MATCH($A49,Mapping!$F$2:$F$181,0)) = 0, $A49, INDEX(Mapping!$I$2:$I$181,MATCH($A49,Mapping!$F$2:$F$181,0))), INDEX(Mapping!$G$2:$G$181,MATCH($A49,Mapping!$F$2:$F$181,0))), "")</f>
        <v>Equip[4]</v>
      </c>
      <c r="C49" s="1" t="str">
        <f>IFERROR(IF(INDEX(Mapping!$I$2:$I$181,MATCH($A49,Mapping!$F$2:$F$181,0)) = 0, "Metadata", INDEX(Mapping!$I$2:$I$181,MATCH($A49,Mapping!$F$2:$F$181,0))), "")</f>
        <v>Equip[4]</v>
      </c>
      <c r="D49" s="20" t="str">
        <f>IFERROR(IF(INDEX(Mapping!$H$2:$H$181,MATCH($A49,Mapping!$F$2:$F$181,0)) = 0, "", INDEX(Mapping!$H$2:$H$181,MATCH($A49,Mapping!$F$2:$F$181,0))), "")</f>
        <v>vDbEquip4</v>
      </c>
      <c r="E49" s="1" t="str">
        <f>IFERROR(IF(INDEX(Mapping!$C$2:$C$181,MATCH($A49,Mapping!$F$2:$F$181,0)) = 0, "", INDEX(Mapping!$C$2:$C$181,MATCH($A49,Mapping!$F$2:$F$181,0))), "")</f>
        <v/>
      </c>
      <c r="F49" s="20" t="str">
        <f>IFERROR(IF(INDEX(Mapping!$D$2:$D$181,MATCH($A49,Mapping!$F$2:$F$181,0)) = 0, "", INDEX(Mapping!$D$2:$D$181,MATCH($A49,Mapping!$F$2:$F$181,0))), "")</f>
        <v>FairchildDevice</v>
      </c>
      <c r="G49" s="20" t="str">
        <f>IFERROR(IF(INDEX(Mapping!$E$2:$E$181,MATCH($A49,Mapping!$F$2:$F$181,0)) = 0, "", INDEX(Mapping!$E$2:$E$181,MATCH($A49,Mapping!$F$2:$F$181,0))), "")</f>
        <v/>
      </c>
      <c r="H49" s="1"/>
    </row>
    <row r="50" spans="1:8" x14ac:dyDescent="0.25">
      <c r="A50" s="1" t="s">
        <v>294</v>
      </c>
      <c r="B50" s="1" t="str">
        <f>IFERROR(IF(INDEX(Mapping!$G$2:$G$181,MATCH($A50,Mapping!$F$2:$F$181,0)) = 0, IF(INDEX(Mapping!$I$2:$I$181,MATCH($A50,Mapping!$F$2:$F$181,0)) = 0, $A50, INDEX(Mapping!$I$2:$I$181,MATCH($A50,Mapping!$F$2:$F$181,0))), INDEX(Mapping!$G$2:$G$181,MATCH($A50,Mapping!$F$2:$F$181,0))), "")</f>
        <v>op_log linked index 4</v>
      </c>
      <c r="C50" s="1" t="str">
        <f>IFERROR(IF(INDEX(Mapping!$I$2:$I$181,MATCH($A50,Mapping!$F$2:$F$181,0)) = 0, "Metadata", INDEX(Mapping!$I$2:$I$181,MATCH($A50,Mapping!$F$2:$F$181,0))), "")</f>
        <v>op_log linked index 4</v>
      </c>
      <c r="D50" s="20" t="str">
        <f>IFERROR(IF(INDEX(Mapping!$H$2:$H$181,MATCH($A50,Mapping!$F$2:$F$181,0)) = 0, "", INDEX(Mapping!$H$2:$H$181,MATCH($A50,Mapping!$F$2:$F$181,0))), "")</f>
        <v>DbMetaData("PTI4/PAL", vPti4Pal)</v>
      </c>
      <c r="E50" s="1" t="str">
        <f>IFERROR(IF(INDEX(Mapping!$C$2:$C$181,MATCH($A50,Mapping!$F$2:$F$181,0)) = 0, "", INDEX(Mapping!$C$2:$C$181,MATCH($A50,Mapping!$F$2:$F$181,0))), "")</f>
        <v>DwPlm[PAL4_CD]</v>
      </c>
      <c r="F50" s="20" t="str">
        <f>IFERROR(IF(INDEX(Mapping!$D$2:$D$181,MATCH($A50,Mapping!$F$2:$F$181,0)) = 0, "", INDEX(Mapping!$D$2:$D$181,MATCH($A50,Mapping!$F$2:$F$181,0))), "")</f>
        <v>Pti4Pal</v>
      </c>
      <c r="G50" s="20" t="str">
        <f>IFERROR(IF(INDEX(Mapping!$E$2:$E$181,MATCH($A50,Mapping!$F$2:$F$181,0)) = 0, "", INDEX(Mapping!$E$2:$E$181,MATCH($A50,Mapping!$F$2:$F$181,0))), "")</f>
        <v/>
      </c>
      <c r="H50" s="1"/>
    </row>
    <row r="51" spans="1:8" x14ac:dyDescent="0.25">
      <c r="A51" s="1" t="s">
        <v>295</v>
      </c>
      <c r="B51" s="1" t="str">
        <f>IFERROR(IF(INDEX(Mapping!$G$2:$G$181,MATCH($A51,Mapping!$F$2:$F$181,0)) = 0, IF(INDEX(Mapping!$I$2:$I$181,MATCH($A51,Mapping!$F$2:$F$181,0)) = 0, $A51, INDEX(Mapping!$I$2:$I$181,MATCH($A51,Mapping!$F$2:$F$181,0))), INDEX(Mapping!$G$2:$G$181,MATCH($A51,Mapping!$F$2:$F$181,0))), "")</f>
        <v>op_log linked index 10</v>
      </c>
      <c r="C51" s="1" t="str">
        <f>IFERROR(IF(INDEX(Mapping!$I$2:$I$181,MATCH($A51,Mapping!$F$2:$F$181,0)) = 0, "Metadata", INDEX(Mapping!$I$2:$I$181,MATCH($A51,Mapping!$F$2:$F$181,0))), "")</f>
        <v>op_log linked index 10</v>
      </c>
      <c r="D51" s="20" t="str">
        <f>IFERROR(IF(INDEX(Mapping!$H$2:$H$181,MATCH($A51,Mapping!$F$2:$F$181,0)) = 0, "", INDEX(Mapping!$H$2:$H$181,MATCH($A51,Mapping!$F$2:$F$181,0))), "")</f>
        <v>DbMetaData("Application Board", vApplicationBoard)</v>
      </c>
      <c r="E51" s="1" t="str">
        <f>IFERROR(IF(INDEX(Mapping!$C$2:$C$181,MATCH($A51,Mapping!$F$2:$F$181,0)) = 0, "", INDEX(Mapping!$C$2:$C$181,MATCH($A51,Mapping!$F$2:$F$181,0))), "")</f>
        <v/>
      </c>
      <c r="F51" s="20" t="str">
        <f>IFERROR(IF(INDEX(Mapping!$D$2:$D$181,MATCH($A51,Mapping!$F$2:$F$181,0)) = 0, "", INDEX(Mapping!$D$2:$D$181,MATCH($A51,Mapping!$F$2:$F$181,0))), "")</f>
        <v>ApplicationBoard</v>
      </c>
      <c r="G51" s="20" t="str">
        <f>IFERROR(IF(INDEX(Mapping!$E$2:$E$181,MATCH($A51,Mapping!$F$2:$F$181,0)) = 0, "", INDEX(Mapping!$E$2:$E$181,MATCH($A51,Mapping!$F$2:$F$181,0))), "")</f>
        <v>SDR.EXTR_ID</v>
      </c>
      <c r="H51" s="1"/>
    </row>
    <row r="52" spans="1:8" x14ac:dyDescent="0.25">
      <c r="A52" s="1" t="s">
        <v>296</v>
      </c>
      <c r="B52" s="1" t="str">
        <f>IFERROR(IF(INDEX(Mapping!$G$2:$G$181,MATCH($A52,Mapping!$F$2:$F$181,0)) = 0, IF(INDEX(Mapping!$I$2:$I$181,MATCH($A52,Mapping!$F$2:$F$181,0)) = 0, $A52, INDEX(Mapping!$I$2:$I$181,MATCH($A52,Mapping!$F$2:$F$181,0))), INDEX(Mapping!$G$2:$G$181,MATCH($A52,Mapping!$F$2:$F$181,0))), "")</f>
        <v>op_log linked index 11</v>
      </c>
      <c r="C52" s="1" t="str">
        <f>IFERROR(IF(INDEX(Mapping!$I$2:$I$181,MATCH($A52,Mapping!$F$2:$F$181,0)) = 0, "Metadata", INDEX(Mapping!$I$2:$I$181,MATCH($A52,Mapping!$F$2:$F$181,0))), "")</f>
        <v>op_log linked index 11</v>
      </c>
      <c r="D52" s="20" t="str">
        <f>IFERROR(IF(INDEX(Mapping!$H$2:$H$181,MATCH($A52,Mapping!$F$2:$F$181,0)) = 0, "", INDEX(Mapping!$H$2:$H$181,MATCH($A52,Mapping!$F$2:$F$181,0))), "")</f>
        <v>DbMetaData("Performance Board", vPerformanceBoard)</v>
      </c>
      <c r="E52" s="1" t="str">
        <f>IFERROR(IF(INDEX(Mapping!$C$2:$C$181,MATCH($A52,Mapping!$F$2:$F$181,0)) = 0, "", INDEX(Mapping!$C$2:$C$181,MATCH($A52,Mapping!$F$2:$F$181,0))), "")</f>
        <v/>
      </c>
      <c r="F52" s="20" t="str">
        <f>IFERROR(IF(INDEX(Mapping!$D$2:$D$181,MATCH($A52,Mapping!$F$2:$F$181,0)) = 0, "", INDEX(Mapping!$D$2:$D$181,MATCH($A52,Mapping!$F$2:$F$181,0))), "")</f>
        <v>PerformanceBoard</v>
      </c>
      <c r="G52" s="20" t="str">
        <f>IFERROR(IF(INDEX(Mapping!$E$2:$E$181,MATCH($A52,Mapping!$F$2:$F$181,0)) = 0, "", INDEX(Mapping!$E$2:$E$181,MATCH($A52,Mapping!$F$2:$F$181,0))), "")</f>
        <v>SDR.EXTR_ID</v>
      </c>
      <c r="H52" s="1"/>
    </row>
    <row r="53" spans="1:8" x14ac:dyDescent="0.25">
      <c r="A53" s="1" t="s">
        <v>297</v>
      </c>
      <c r="B53" s="1" t="str">
        <f>IFERROR(IF(INDEX(Mapping!$G$2:$G$181,MATCH($A53,Mapping!$F$2:$F$181,0)) = 0, IF(INDEX(Mapping!$I$2:$I$181,MATCH($A53,Mapping!$F$2:$F$181,0)) = 0, $A53, INDEX(Mapping!$I$2:$I$181,MATCH($A53,Mapping!$F$2:$F$181,0))), INDEX(Mapping!$G$2:$G$181,MATCH($A53,Mapping!$F$2:$F$181,0))), "")</f>
        <v>op_log linked index 12</v>
      </c>
      <c r="C53" s="1" t="str">
        <f>IFERROR(IF(INDEX(Mapping!$I$2:$I$181,MATCH($A53,Mapping!$F$2:$F$181,0)) = 0, "Metadata", INDEX(Mapping!$I$2:$I$181,MATCH($A53,Mapping!$F$2:$F$181,0))), "")</f>
        <v>op_log linked index 12</v>
      </c>
      <c r="D53" s="20" t="str">
        <f>IFERROR(IF(INDEX(Mapping!$H$2:$H$181,MATCH($A53,Mapping!$F$2:$F$181,0)) = 0, "", INDEX(Mapping!$H$2:$H$181,MATCH($A53,Mapping!$F$2:$F$181,0))), "")</f>
        <v>DbMetaData("Cable ID", vCableId)</v>
      </c>
      <c r="E53" s="1" t="str">
        <f>IFERROR(IF(INDEX(Mapping!$C$2:$C$181,MATCH($A53,Mapping!$F$2:$F$181,0)) = 0, "", INDEX(Mapping!$C$2:$C$181,MATCH($A53,Mapping!$F$2:$F$181,0))), "")</f>
        <v/>
      </c>
      <c r="F53" s="20" t="str">
        <f>IFERROR(IF(INDEX(Mapping!$D$2:$D$181,MATCH($A53,Mapping!$F$2:$F$181,0)) = 0, "", INDEX(Mapping!$D$2:$D$181,MATCH($A53,Mapping!$F$2:$F$181,0))), "")</f>
        <v>CableId</v>
      </c>
      <c r="G53" s="20" t="str">
        <f>IFERROR(IF(INDEX(Mapping!$E$2:$E$181,MATCH($A53,Mapping!$F$2:$F$181,0)) = 0, "", INDEX(Mapping!$E$2:$E$181,MATCH($A53,Mapping!$F$2:$F$181,0))), "")</f>
        <v>SDR.CABL_ID</v>
      </c>
      <c r="H53" s="1"/>
    </row>
    <row r="54" spans="1:8" x14ac:dyDescent="0.25">
      <c r="A54" s="1" t="s">
        <v>298</v>
      </c>
      <c r="B54" s="1" t="str">
        <f>IFERROR(IF(INDEX(Mapping!$G$2:$G$181,MATCH($A54,Mapping!$F$2:$F$181,0)) = 0, IF(INDEX(Mapping!$I$2:$I$181,MATCH($A54,Mapping!$F$2:$F$181,0)) = 0, $A54, INDEX(Mapping!$I$2:$I$181,MATCH($A54,Mapping!$F$2:$F$181,0))), INDEX(Mapping!$G$2:$G$181,MATCH($A54,Mapping!$F$2:$F$181,0))), "")</f>
        <v>op_log linked index 13</v>
      </c>
      <c r="C54" s="1" t="str">
        <f>IFERROR(IF(INDEX(Mapping!$I$2:$I$181,MATCH($A54,Mapping!$F$2:$F$181,0)) = 0, "Metadata", INDEX(Mapping!$I$2:$I$181,MATCH($A54,Mapping!$F$2:$F$181,0))), "")</f>
        <v>op_log linked index 13</v>
      </c>
      <c r="D54" s="20" t="str">
        <f>IFERROR(IF(INDEX(Mapping!$H$2:$H$181,MATCH($A54,Mapping!$F$2:$F$181,0)) = 0, "", INDEX(Mapping!$H$2:$H$181,MATCH($A54,Mapping!$F$2:$F$181,0))), "")</f>
        <v>DbMetaData("DUT Board", vDutBoard)</v>
      </c>
      <c r="E54" s="1" t="str">
        <f>IFERROR(IF(INDEX(Mapping!$C$2:$C$181,MATCH($A54,Mapping!$F$2:$F$181,0)) = 0, "", INDEX(Mapping!$C$2:$C$181,MATCH($A54,Mapping!$F$2:$F$181,0))), "")</f>
        <v/>
      </c>
      <c r="F54" s="20" t="str">
        <f>IFERROR(IF(INDEX(Mapping!$D$2:$D$181,MATCH($A54,Mapping!$F$2:$F$181,0)) = 0, "", INDEX(Mapping!$D$2:$D$181,MATCH($A54,Mapping!$F$2:$F$181,0))), "")</f>
        <v/>
      </c>
      <c r="G54" s="20" t="str">
        <f>IFERROR(IF(INDEX(Mapping!$E$2:$E$181,MATCH($A54,Mapping!$F$2:$F$181,0)) = 0, "", INDEX(Mapping!$E$2:$E$181,MATCH($A54,Mapping!$F$2:$F$181,0))), "")</f>
        <v>SDR.DIB_ID</v>
      </c>
      <c r="H54" s="1"/>
    </row>
    <row r="55" spans="1:8" x14ac:dyDescent="0.25">
      <c r="A55" s="1" t="s">
        <v>299</v>
      </c>
      <c r="B55" s="1" t="str">
        <f>IFERROR(IF(INDEX(Mapping!$G$2:$G$181,MATCH($A55,Mapping!$F$2:$F$181,0)) = 0, IF(INDEX(Mapping!$I$2:$I$181,MATCH($A55,Mapping!$F$2:$F$181,0)) = 0, $A55, INDEX(Mapping!$I$2:$I$181,MATCH($A55,Mapping!$F$2:$F$181,0))), INDEX(Mapping!$G$2:$G$181,MATCH($A55,Mapping!$F$2:$F$181,0))), "")</f>
        <v>op_log linked index 14</v>
      </c>
      <c r="C55" s="1" t="str">
        <f>IFERROR(IF(INDEX(Mapping!$I$2:$I$181,MATCH($A55,Mapping!$F$2:$F$181,0)) = 0, "Metadata", INDEX(Mapping!$I$2:$I$181,MATCH($A55,Mapping!$F$2:$F$181,0))), "")</f>
        <v>op_log linked index 14</v>
      </c>
      <c r="D55" s="20" t="str">
        <f>IFERROR(IF(INDEX(Mapping!$H$2:$H$181,MATCH($A55,Mapping!$F$2:$F$181,0)) = 0, "", INDEX(Mapping!$H$2:$H$181,MATCH($A55,Mapping!$F$2:$F$181,0))), "")</f>
        <v>DbMetaData("Tester DLL", vTesterDll)</v>
      </c>
      <c r="E55" s="1" t="str">
        <f>IFERROR(IF(INDEX(Mapping!$C$2:$C$181,MATCH($A55,Mapping!$F$2:$F$181,0)) = 0, "", INDEX(Mapping!$C$2:$C$181,MATCH($A55,Mapping!$F$2:$F$181,0))), "")</f>
        <v/>
      </c>
      <c r="F55" s="20" t="str">
        <f>IFERROR(IF(INDEX(Mapping!$D$2:$D$181,MATCH($A55,Mapping!$F$2:$F$181,0)) = 0, "", INDEX(Mapping!$D$2:$D$181,MATCH($A55,Mapping!$F$2:$F$181,0))), "")</f>
        <v>TesterDll</v>
      </c>
      <c r="G55" s="20" t="str">
        <f>IFERROR(IF(INDEX(Mapping!$E$2:$E$181,MATCH($A55,Mapping!$F$2:$F$181,0)) = 0, "", INDEX(Mapping!$E$2:$E$181,MATCH($A55,Mapping!$F$2:$F$181,0))), "")</f>
        <v/>
      </c>
      <c r="H55" s="1"/>
    </row>
    <row r="56" spans="1:8" x14ac:dyDescent="0.25">
      <c r="A56" s="1" t="s">
        <v>300</v>
      </c>
      <c r="B56" s="1" t="str">
        <f>IFERROR(IF(INDEX(Mapping!$G$2:$G$181,MATCH($A56,Mapping!$F$2:$F$181,0)) = 0, IF(INDEX(Mapping!$I$2:$I$181,MATCH($A56,Mapping!$F$2:$F$181,0)) = 0, $A56, INDEX(Mapping!$I$2:$I$181,MATCH($A56,Mapping!$F$2:$F$181,0))), INDEX(Mapping!$G$2:$G$181,MATCH($A56,Mapping!$F$2:$F$181,0))), "")</f>
        <v>op_log linked index 15</v>
      </c>
      <c r="C56" s="1" t="str">
        <f>IFERROR(IF(INDEX(Mapping!$I$2:$I$181,MATCH($A56,Mapping!$F$2:$F$181,0)) = 0, "Metadata", INDEX(Mapping!$I$2:$I$181,MATCH($A56,Mapping!$F$2:$F$181,0))), "")</f>
        <v>op_log linked index 15</v>
      </c>
      <c r="D56" s="20" t="str">
        <f>IFERROR(IF(INDEX(Mapping!$H$2:$H$181,MATCH($A56,Mapping!$F$2:$F$181,0)) = 0, "", INDEX(Mapping!$H$2:$H$181,MATCH($A56,Mapping!$F$2:$F$181,0))), "")</f>
        <v>DbMetaData("TesterDllVersion", vTesterDllVersion)</v>
      </c>
      <c r="E56" s="1" t="str">
        <f>IFERROR(IF(INDEX(Mapping!$C$2:$C$181,MATCH($A56,Mapping!$F$2:$F$181,0)) = 0, "", INDEX(Mapping!$C$2:$C$181,MATCH($A56,Mapping!$F$2:$F$181,0))), "")</f>
        <v/>
      </c>
      <c r="F56" s="20" t="str">
        <f>IFERROR(IF(INDEX(Mapping!$D$2:$D$181,MATCH($A56,Mapping!$F$2:$F$181,0)) = 0, "", INDEX(Mapping!$D$2:$D$181,MATCH($A56,Mapping!$F$2:$F$181,0))), "")</f>
        <v>TesterDllVersion</v>
      </c>
      <c r="G56" s="20" t="str">
        <f>IFERROR(IF(INDEX(Mapping!$E$2:$E$181,MATCH($A56,Mapping!$F$2:$F$181,0)) = 0, "", INDEX(Mapping!$E$2:$E$181,MATCH($A56,Mapping!$F$2:$F$181,0))), "")</f>
        <v/>
      </c>
      <c r="H56" s="1"/>
    </row>
    <row r="57" spans="1:8" x14ac:dyDescent="0.25">
      <c r="A57" s="1" t="s">
        <v>301</v>
      </c>
      <c r="B57" s="1" t="str">
        <f>IFERROR(IF(INDEX(Mapping!$G$2:$G$181,MATCH($A57,Mapping!$F$2:$F$181,0)) = 0, IF(INDEX(Mapping!$I$2:$I$181,MATCH($A57,Mapping!$F$2:$F$181,0)) = 0, $A57, INDEX(Mapping!$I$2:$I$181,MATCH($A57,Mapping!$F$2:$F$181,0))), INDEX(Mapping!$G$2:$G$181,MATCH($A57,Mapping!$F$2:$F$181,0))), "")</f>
        <v>op_log linked index 17</v>
      </c>
      <c r="C57" s="1" t="str">
        <f>IFERROR(IF(INDEX(Mapping!$I$2:$I$181,MATCH($A57,Mapping!$F$2:$F$181,0)) = 0, "Metadata", INDEX(Mapping!$I$2:$I$181,MATCH($A57,Mapping!$F$2:$F$181,0))), "")</f>
        <v>op_log linked index 17</v>
      </c>
      <c r="D57" s="20" t="str">
        <f>IFERROR(IF(INDEX(Mapping!$H$2:$H$181,MATCH($A57,Mapping!$F$2:$F$181,0)) = 0, "", INDEX(Mapping!$H$2:$H$181,MATCH($A57,Mapping!$F$2:$F$181,0))), "")</f>
        <v>DbMetaData("PDS File Version", vPdsFileVersion)</v>
      </c>
      <c r="E57" s="1" t="str">
        <f>IFERROR(IF(INDEX(Mapping!$C$2:$C$181,MATCH($A57,Mapping!$F$2:$F$181,0)) = 0, "", INDEX(Mapping!$C$2:$C$181,MATCH($A57,Mapping!$F$2:$F$181,0))), "")</f>
        <v/>
      </c>
      <c r="F57" s="20" t="str">
        <f>IFERROR(IF(INDEX(Mapping!$D$2:$D$181,MATCH($A57,Mapping!$F$2:$F$181,0)) = 0, "", INDEX(Mapping!$D$2:$D$181,MATCH($A57,Mapping!$F$2:$F$181,0))), "")</f>
        <v>PdsFileVersion</v>
      </c>
      <c r="G57" s="20" t="str">
        <f>IFERROR(IF(INDEX(Mapping!$E$2:$E$181,MATCH($A57,Mapping!$F$2:$F$181,0)) = 0, "", INDEX(Mapping!$E$2:$E$181,MATCH($A57,Mapping!$F$2:$F$181,0))), "")</f>
        <v/>
      </c>
      <c r="H57" s="1"/>
    </row>
    <row r="58" spans="1:8" x14ac:dyDescent="0.25">
      <c r="A58" s="1" t="s">
        <v>302</v>
      </c>
      <c r="B58" s="1" t="str">
        <f>IFERROR(IF(INDEX(Mapping!$G$2:$G$181,MATCH($A58,Mapping!$F$2:$F$181,0)) = 0, IF(INDEX(Mapping!$I$2:$I$181,MATCH($A58,Mapping!$F$2:$F$181,0)) = 0, $A58, INDEX(Mapping!$I$2:$I$181,MATCH($A58,Mapping!$F$2:$F$181,0))), INDEX(Mapping!$G$2:$G$181,MATCH($A58,Mapping!$F$2:$F$181,0))), "")</f>
        <v>op_log linked index 18</v>
      </c>
      <c r="C58" s="1" t="str">
        <f>IFERROR(IF(INDEX(Mapping!$I$2:$I$181,MATCH($A58,Mapping!$F$2:$F$181,0)) = 0, "Metadata", INDEX(Mapping!$I$2:$I$181,MATCH($A58,Mapping!$F$2:$F$181,0))), "")</f>
        <v>op_log linked index 18</v>
      </c>
      <c r="D58" s="20" t="str">
        <f>IFERROR(IF(INDEX(Mapping!$H$2:$H$181,MATCH($A58,Mapping!$F$2:$F$181,0)) = 0, "", INDEX(Mapping!$H$2:$H$181,MATCH($A58,Mapping!$F$2:$F$181,0))), "")</f>
        <v>DbMetaData("Load Board", vLoadBoard)</v>
      </c>
      <c r="E58" s="1" t="str">
        <f>IFERROR(IF(INDEX(Mapping!$C$2:$C$181,MATCH($A58,Mapping!$F$2:$F$181,0)) = 0, "", INDEX(Mapping!$C$2:$C$181,MATCH($A58,Mapping!$F$2:$F$181,0))), "")</f>
        <v/>
      </c>
      <c r="F58" s="20" t="str">
        <f>IFERROR(IF(INDEX(Mapping!$D$2:$D$181,MATCH($A58,Mapping!$F$2:$F$181,0)) = 0, "", INDEX(Mapping!$D$2:$D$181,MATCH($A58,Mapping!$F$2:$F$181,0))), "")</f>
        <v>LoadBoard</v>
      </c>
      <c r="G58" s="20" t="str">
        <f>IFERROR(IF(INDEX(Mapping!$E$2:$E$181,MATCH($A58,Mapping!$F$2:$F$181,0)) = 0, "", INDEX(Mapping!$E$2:$E$181,MATCH($A58,Mapping!$F$2:$F$181,0))), "")</f>
        <v>SDR.LOAD_ID</v>
      </c>
      <c r="H58" s="1"/>
    </row>
    <row r="59" spans="1:8" x14ac:dyDescent="0.25">
      <c r="A59" s="1" t="s">
        <v>303</v>
      </c>
      <c r="B59" s="1" t="str">
        <f>IFERROR(IF(INDEX(Mapping!$G$2:$G$181,MATCH($A59,Mapping!$F$2:$F$181,0)) = 0, IF(INDEX(Mapping!$I$2:$I$181,MATCH($A59,Mapping!$F$2:$F$181,0)) = 0, $A59, INDEX(Mapping!$I$2:$I$181,MATCH($A59,Mapping!$F$2:$F$181,0))), INDEX(Mapping!$G$2:$G$181,MATCH($A59,Mapping!$F$2:$F$181,0))), "")</f>
        <v>op_log linked index 19</v>
      </c>
      <c r="C59" s="1" t="str">
        <f>IFERROR(IF(INDEX(Mapping!$I$2:$I$181,MATCH($A59,Mapping!$F$2:$F$181,0)) = 0, "Metadata", INDEX(Mapping!$I$2:$I$181,MATCH($A59,Mapping!$F$2:$F$181,0))), "")</f>
        <v>op_log linked index 19</v>
      </c>
      <c r="D59" s="20" t="str">
        <f>IFERROR(IF(INDEX(Mapping!$H$2:$H$181,MATCH($A59,Mapping!$F$2:$F$181,0)) = 0, "", INDEX(Mapping!$H$2:$H$181,MATCH($A59,Mapping!$F$2:$F$181,0))), "")</f>
        <v>DbMetaData("Load Board Type", vLoadBoardType)</v>
      </c>
      <c r="E59" s="1" t="str">
        <f>IFERROR(IF(INDEX(Mapping!$C$2:$C$181,MATCH($A59,Mapping!$F$2:$F$181,0)) = 0, "", INDEX(Mapping!$C$2:$C$181,MATCH($A59,Mapping!$F$2:$F$181,0))), "")</f>
        <v/>
      </c>
      <c r="F59" s="20" t="str">
        <f>IFERROR(IF(INDEX(Mapping!$D$2:$D$181,MATCH($A59,Mapping!$F$2:$F$181,0)) = 0, "", INDEX(Mapping!$D$2:$D$181,MATCH($A59,Mapping!$F$2:$F$181,0))), "")</f>
        <v/>
      </c>
      <c r="G59" s="20" t="str">
        <f>IFERROR(IF(INDEX(Mapping!$E$2:$E$181,MATCH($A59,Mapping!$F$2:$F$181,0)) = 0, "", INDEX(Mapping!$E$2:$E$181,MATCH($A59,Mapping!$F$2:$F$181,0))), "")</f>
        <v>SDR.LOAD_TYP</v>
      </c>
      <c r="H59" s="1"/>
    </row>
    <row r="60" spans="1:8" x14ac:dyDescent="0.25">
      <c r="A60" s="38" t="s">
        <v>304</v>
      </c>
      <c r="B60" s="1" t="str">
        <f>IFERROR(IF(INDEX(Mapping!$G$2:$G$181,MATCH($A60,Mapping!$F$2:$F$181,0)) = 0, IF(INDEX(Mapping!$I$2:$I$181,MATCH($A60,Mapping!$F$2:$F$181,0)) = 0, $A60, INDEX(Mapping!$I$2:$I$181,MATCH($A60,Mapping!$F$2:$F$181,0))), INDEX(Mapping!$G$2:$G$181,MATCH($A60,Mapping!$F$2:$F$181,0))), "")</f>
        <v>op_log linked index 20</v>
      </c>
      <c r="C60" s="1" t="str">
        <f>IFERROR(IF(INDEX(Mapping!$I$2:$I$181,MATCH($A60,Mapping!$F$2:$F$181,0)) = 0, "Metadata", INDEX(Mapping!$I$2:$I$181,MATCH($A60,Mapping!$F$2:$F$181,0))), "")</f>
        <v>op_log linked index 20</v>
      </c>
      <c r="D60" s="20" t="str">
        <f>IFERROR(IF(INDEX(Mapping!$H$2:$H$181,MATCH($A60,Mapping!$F$2:$F$181,0)) = 0, "", INDEX(Mapping!$H$2:$H$181,MATCH($A60,Mapping!$F$2:$F$181,0))), "")</f>
        <v>DbMetaData("EBR Number", vEbrNumber)</v>
      </c>
      <c r="E60" s="1" t="str">
        <f>IFERROR(IF(INDEX(Mapping!$C$2:$C$181,MATCH($A60,Mapping!$F$2:$F$181,0)) = 0, "", INDEX(Mapping!$C$2:$C$181,MATCH($A60,Mapping!$F$2:$F$181,0))), "")</f>
        <v/>
      </c>
      <c r="F60" s="20" t="str">
        <f>IFERROR(IF(INDEX(Mapping!$D$2:$D$181,MATCH($A60,Mapping!$F$2:$F$181,0)) = 0, "", INDEX(Mapping!$D$2:$D$181,MATCH($A60,Mapping!$F$2:$F$181,0))), "")</f>
        <v>EbrNumber</v>
      </c>
      <c r="G60" s="20" t="str">
        <f>IFERROR(IF(INDEX(Mapping!$E$2:$E$181,MATCH($A60,Mapping!$F$2:$F$181,0)) = 0, "", INDEX(Mapping!$E$2:$E$181,MATCH($A60,Mapping!$F$2:$F$181,0))), "")</f>
        <v/>
      </c>
      <c r="H60" s="1"/>
    </row>
    <row r="61" spans="1:8" x14ac:dyDescent="0.25">
      <c r="A61" s="1" t="s">
        <v>305</v>
      </c>
      <c r="B61" s="1" t="str">
        <f>IFERROR(IF(INDEX(Mapping!$G$2:$G$181,MATCH($A61,Mapping!$F$2:$F$181,0)) = 0, IF(INDEX(Mapping!$I$2:$I$181,MATCH($A61,Mapping!$F$2:$F$181,0)) = 0, $A61, INDEX(Mapping!$I$2:$I$181,MATCH($A61,Mapping!$F$2:$F$181,0))), INDEX(Mapping!$G$2:$G$181,MATCH($A61,Mapping!$F$2:$F$181,0))), "")</f>
        <v>op_log linked index 21</v>
      </c>
      <c r="C61" s="1" t="str">
        <f>IFERROR(IF(INDEX(Mapping!$I$2:$I$181,MATCH($A61,Mapping!$F$2:$F$181,0)) = 0, "Metadata", INDEX(Mapping!$I$2:$I$181,MATCH($A61,Mapping!$F$2:$F$181,0))), "")</f>
        <v>op_log linked index 21</v>
      </c>
      <c r="D61" s="20" t="str">
        <f>IFERROR(IF(INDEX(Mapping!$H$2:$H$181,MATCH($A61,Mapping!$F$2:$F$181,0)) = 0, "", INDEX(Mapping!$H$2:$H$181,MATCH($A61,Mapping!$F$2:$F$181,0))), "")</f>
        <v>DbMetaData("Mask / Mask Set", vMaskMaskSet)</v>
      </c>
      <c r="E61" s="1" t="str">
        <f>IFERROR(IF(INDEX(Mapping!$C$2:$C$181,MATCH($A61,Mapping!$F$2:$F$181,0)) = 0, "", INDEX(Mapping!$C$2:$C$181,MATCH($A61,Mapping!$F$2:$F$181,0))), "")</f>
        <v>DwPlm[WFR_FAB_MASK_CONFIG_ID]</v>
      </c>
      <c r="F61" s="20" t="str">
        <f>IFERROR(IF(INDEX(Mapping!$D$2:$D$181,MATCH($A61,Mapping!$F$2:$F$181,0)) = 0, "", INDEX(Mapping!$D$2:$D$181,MATCH($A61,Mapping!$F$2:$F$181,0))), "")</f>
        <v>MaskSet</v>
      </c>
      <c r="G61" s="20" t="str">
        <f>IFERROR(IF(INDEX(Mapping!$E$2:$E$181,MATCH($A61,Mapping!$F$2:$F$181,0)) = 0, "", INDEX(Mapping!$E$2:$E$181,MATCH($A61,Mapping!$F$2:$F$181,0))), "")</f>
        <v/>
      </c>
      <c r="H61" s="1"/>
    </row>
    <row r="62" spans="1:8" x14ac:dyDescent="0.25">
      <c r="A62" s="1" t="s">
        <v>306</v>
      </c>
      <c r="B62" s="1" t="str">
        <f>IFERROR(IF(INDEX(Mapping!$G$2:$G$181,MATCH($A62,Mapping!$F$2:$F$181,0)) = 0, IF(INDEX(Mapping!$I$2:$I$181,MATCH($A62,Mapping!$F$2:$F$181,0)) = 0, $A62, INDEX(Mapping!$I$2:$I$181,MATCH($A62,Mapping!$F$2:$F$181,0))), INDEX(Mapping!$G$2:$G$181,MATCH($A62,Mapping!$F$2:$F$181,0))), "")</f>
        <v>op_log linked index 22</v>
      </c>
      <c r="C62" s="1" t="str">
        <f>IFERROR(IF(INDEX(Mapping!$I$2:$I$181,MATCH($A62,Mapping!$F$2:$F$181,0)) = 0, "Metadata", INDEX(Mapping!$I$2:$I$181,MATCH($A62,Mapping!$F$2:$F$181,0))), "")</f>
        <v>op_log linked index 22</v>
      </c>
      <c r="D62" s="20" t="str">
        <f>IFERROR(IF(INDEX(Mapping!$H$2:$H$181,MATCH($A62,Mapping!$F$2:$F$181,0)) = 0, "", INDEX(Mapping!$H$2:$H$181,MATCH($A62,Mapping!$F$2:$F$181,0))), "")</f>
        <v>DbMetaData("Process Family", vProcessFamily)</v>
      </c>
      <c r="E62" s="1" t="str">
        <f>IFERROR(IF(INDEX(Mapping!$C$2:$C$181,MATCH($A62,Mapping!$F$2:$F$181,0)) = 0, "", INDEX(Mapping!$C$2:$C$181,MATCH($A62,Mapping!$F$2:$F$181,0))), "")</f>
        <v>DwPlm[WFR_TECH_VARIANT_ID]</v>
      </c>
      <c r="F62" s="20" t="str">
        <f>IFERROR(IF(INDEX(Mapping!$D$2:$D$181,MATCH($A62,Mapping!$F$2:$F$181,0)) = 0, "", INDEX(Mapping!$D$2:$D$181,MATCH($A62,Mapping!$F$2:$F$181,0))), "")</f>
        <v>ProcessFamily</v>
      </c>
      <c r="G62" s="20" t="str">
        <f>IFERROR(IF(INDEX(Mapping!$E$2:$E$181,MATCH($A62,Mapping!$F$2:$F$181,0)) = 0, "", INDEX(Mapping!$E$2:$E$181,MATCH($A62,Mapping!$F$2:$F$181,0))), "")</f>
        <v/>
      </c>
      <c r="H62" s="1"/>
    </row>
    <row r="63" spans="1:8" x14ac:dyDescent="0.25">
      <c r="A63" s="1" t="s">
        <v>285</v>
      </c>
      <c r="B63" s="1" t="str">
        <f>IFERROR(IF(INDEX(Mapping!$G$2:$G$181,MATCH($A63,Mapping!$F$2:$F$181,0)) = 0, IF(INDEX(Mapping!$I$2:$I$181,MATCH($A63,Mapping!$F$2:$F$181,0)) = 0, $A63, INDEX(Mapping!$I$2:$I$181,MATCH($A63,Mapping!$F$2:$F$181,0))), INDEX(Mapping!$G$2:$G$181,MATCH($A63,Mapping!$F$2:$F$181,0))), "")</f>
        <v>op_log linked index 23</v>
      </c>
      <c r="C63" s="1" t="str">
        <f>IFERROR(IF(INDEX(Mapping!$I$2:$I$181,MATCH($A63,Mapping!$F$2:$F$181,0)) = 0, "Metadata", INDEX(Mapping!$I$2:$I$181,MATCH($A63,Mapping!$F$2:$F$181,0))), "")</f>
        <v>op_log linked index 23</v>
      </c>
      <c r="D63" s="20" t="str">
        <f>IFERROR(IF(INDEX(Mapping!$H$2:$H$181,MATCH($A63,Mapping!$F$2:$F$181,0)) = 0, "", INDEX(Mapping!$H$2:$H$181,MATCH($A63,Mapping!$F$2:$F$181,0))), "")</f>
        <v>DbMetaData("Test Head", vTest Head)</v>
      </c>
      <c r="E63" s="1" t="str">
        <f>IFERROR(IF(INDEX(Mapping!$C$2:$C$181,MATCH($A63,Mapping!$F$2:$F$181,0)) = 0, "", INDEX(Mapping!$C$2:$C$181,MATCH($A63,Mapping!$F$2:$F$181,0))), "")</f>
        <v>[Test Head]</v>
      </c>
      <c r="F63" s="20" t="str">
        <f>IFERROR(IF(INDEX(Mapping!$D$2:$D$181,MATCH($A63,Mapping!$F$2:$F$181,0)) = 0, "", INDEX(Mapping!$D$2:$D$181,MATCH($A63,Mapping!$F$2:$F$181,0))), "")</f>
        <v>TestHead</v>
      </c>
      <c r="G63" s="20" t="str">
        <f>IFERROR(IF(INDEX(Mapping!$E$2:$E$181,MATCH($A63,Mapping!$F$2:$F$181,0)) = 0, "", INDEX(Mapping!$E$2:$E$181,MATCH($A63,Mapping!$F$2:$F$181,0))), "")</f>
        <v/>
      </c>
      <c r="H63" s="1"/>
    </row>
    <row r="64" spans="1:8" x14ac:dyDescent="0.25">
      <c r="A64" s="1" t="s">
        <v>307</v>
      </c>
      <c r="B64" s="1" t="str">
        <f>IFERROR(IF(INDEX(Mapping!$G$2:$G$181,MATCH($A64,Mapping!$F$2:$F$181,0)) = 0, IF(INDEX(Mapping!$I$2:$I$181,MATCH($A64,Mapping!$F$2:$F$181,0)) = 0, $A64, INDEX(Mapping!$I$2:$I$181,MATCH($A64,Mapping!$F$2:$F$181,0))), INDEX(Mapping!$G$2:$G$181,MATCH($A64,Mapping!$F$2:$F$181,0))), "")</f>
        <v>op_log linked index 24</v>
      </c>
      <c r="C64" s="1" t="str">
        <f>IFERROR(IF(INDEX(Mapping!$I$2:$I$181,MATCH($A64,Mapping!$F$2:$F$181,0)) = 0, "Metadata", INDEX(Mapping!$I$2:$I$181,MATCH($A64,Mapping!$F$2:$F$181,0))), "")</f>
        <v>op_log linked index 24</v>
      </c>
      <c r="D64" s="20" t="str">
        <f>IFERROR(IF(INDEX(Mapping!$H$2:$H$181,MATCH($A64,Mapping!$F$2:$F$181,0)) = 0, "", INDEX(Mapping!$H$2:$H$181,MATCH($A64,Mapping!$F$2:$F$181,0))), "")</f>
        <v>DbMetaData("Product Code", vProductCode)</v>
      </c>
      <c r="E64" s="1" t="str">
        <f>IFERROR(IF(INDEX(Mapping!$C$2:$C$181,MATCH($A64,Mapping!$F$2:$F$181,0)) = 0, "", INDEX(Mapping!$C$2:$C$181,MATCH($A64,Mapping!$F$2:$F$181,0))), "")</f>
        <v>DwPlm[WFR_FAB_MASK]</v>
      </c>
      <c r="F64" s="20" t="str">
        <f>IFERROR(IF(INDEX(Mapping!$D$2:$D$181,MATCH($A64,Mapping!$F$2:$F$181,0)) = 0, "", INDEX(Mapping!$D$2:$D$181,MATCH($A64,Mapping!$F$2:$F$181,0))), "")</f>
        <v>ProductCode</v>
      </c>
      <c r="G64" s="20" t="str">
        <f>IFERROR(IF(INDEX(Mapping!$E$2:$E$181,MATCH($A64,Mapping!$F$2:$F$181,0)) = 0, "", INDEX(Mapping!$E$2:$E$181,MATCH($A64,Mapping!$F$2:$F$181,0))), "")</f>
        <v/>
      </c>
      <c r="H64" s="1"/>
    </row>
    <row r="65" spans="1:8" x14ac:dyDescent="0.25">
      <c r="A65" s="1" t="s">
        <v>308</v>
      </c>
      <c r="B65" s="1" t="str">
        <f>IFERROR(IF(INDEX(Mapping!$G$2:$G$181,MATCH($A65,Mapping!$F$2:$F$181,0)) = 0, IF(INDEX(Mapping!$I$2:$I$181,MATCH($A65,Mapping!$F$2:$F$181,0)) = 0, $A65, INDEX(Mapping!$I$2:$I$181,MATCH($A65,Mapping!$F$2:$F$181,0))), INDEX(Mapping!$G$2:$G$181,MATCH($A65,Mapping!$F$2:$F$181,0))), "")</f>
        <v>op_log linked index 25</v>
      </c>
      <c r="C65" s="1" t="str">
        <f>IFERROR(IF(INDEX(Mapping!$I$2:$I$181,MATCH($A65,Mapping!$F$2:$F$181,0)) = 0, "Metadata", INDEX(Mapping!$I$2:$I$181,MATCH($A65,Mapping!$F$2:$F$181,0))), "")</f>
        <v>op_log linked index 25</v>
      </c>
      <c r="D65" s="20" t="str">
        <f>IFERROR(IF(INDEX(Mapping!$H$2:$H$181,MATCH($A65,Mapping!$F$2:$F$181,0)) = 0, "", INDEX(Mapping!$H$2:$H$181,MATCH($A65,Mapping!$F$2:$F$181,0))), "")</f>
        <v>DbMetaData("Card Lens Module", vCardLensModule)</v>
      </c>
      <c r="E65" s="1" t="str">
        <f>IFERROR(IF(INDEX(Mapping!$C$2:$C$181,MATCH($A65,Mapping!$F$2:$F$181,0)) = 0, "", INDEX(Mapping!$C$2:$C$181,MATCH($A65,Mapping!$F$2:$F$181,0))), "")</f>
        <v>[Card Lens Module]</v>
      </c>
      <c r="F65" s="20" t="str">
        <f>IFERROR(IF(INDEX(Mapping!$D$2:$D$181,MATCH($A65,Mapping!$F$2:$F$181,0)) = 0, "", INDEX(Mapping!$D$2:$D$181,MATCH($A65,Mapping!$F$2:$F$181,0))), "")</f>
        <v/>
      </c>
      <c r="G65" s="20" t="str">
        <f>IFERROR(IF(INDEX(Mapping!$E$2:$E$181,MATCH($A65,Mapping!$F$2:$F$181,0)) = 0, "", INDEX(Mapping!$E$2:$E$181,MATCH($A65,Mapping!$F$2:$F$181,0))), "")</f>
        <v/>
      </c>
      <c r="H65" s="1"/>
    </row>
    <row r="66" spans="1:8" x14ac:dyDescent="0.25">
      <c r="A66" s="1" t="s">
        <v>309</v>
      </c>
      <c r="B66" s="1" t="str">
        <f>IFERROR(IF(INDEX(Mapping!$G$2:$G$181,MATCH($A66,Mapping!$F$2:$F$181,0)) = 0, IF(INDEX(Mapping!$I$2:$I$181,MATCH($A66,Mapping!$F$2:$F$181,0)) = 0, $A66, INDEX(Mapping!$I$2:$I$181,MATCH($A66,Mapping!$F$2:$F$181,0))), INDEX(Mapping!$G$2:$G$181,MATCH($A66,Mapping!$F$2:$F$181,0))), "")</f>
        <v>op_log linked index 27</v>
      </c>
      <c r="C66" s="1" t="str">
        <f>IFERROR(IF(INDEX(Mapping!$I$2:$I$181,MATCH($A66,Mapping!$F$2:$F$181,0)) = 0, "Metadata", INDEX(Mapping!$I$2:$I$181,MATCH($A66,Mapping!$F$2:$F$181,0))), "")</f>
        <v>op_log linked index 27</v>
      </c>
      <c r="D66" s="20" t="str">
        <f>IFERROR(IF(INDEX(Mapping!$H$2:$H$181,MATCH($A66,Mapping!$F$2:$F$181,0)) = 0, "", INDEX(Mapping!$H$2:$H$181,MATCH($A66,Mapping!$F$2:$F$181,0))), "")</f>
        <v>DbMetaData("Subcon Product", vSubconProduct)</v>
      </c>
      <c r="E66" s="1" t="str">
        <f>IFERROR(IF(INDEX(Mapping!$C$2:$C$181,MATCH($A66,Mapping!$F$2:$F$181,0)) = 0, "", INDEX(Mapping!$C$2:$C$181,MATCH($A66,Mapping!$F$2:$F$181,0))), "")</f>
        <v>[Subcon Product]</v>
      </c>
      <c r="F66" s="20" t="str">
        <f>IFERROR(IF(INDEX(Mapping!$D$2:$D$181,MATCH($A66,Mapping!$F$2:$F$181,0)) = 0, "", INDEX(Mapping!$D$2:$D$181,MATCH($A66,Mapping!$F$2:$F$181,0))), "")</f>
        <v>SubconProduct</v>
      </c>
      <c r="G66" s="20" t="str">
        <f>IFERROR(IF(INDEX(Mapping!$E$2:$E$181,MATCH($A66,Mapping!$F$2:$F$181,0)) = 0, "", INDEX(Mapping!$E$2:$E$181,MATCH($A66,Mapping!$F$2:$F$181,0))), "")</f>
        <v/>
      </c>
      <c r="H66" s="1"/>
    </row>
    <row r="67" spans="1:8" x14ac:dyDescent="0.25">
      <c r="A67" s="1" t="s">
        <v>310</v>
      </c>
      <c r="B67" s="1" t="str">
        <f>IFERROR(IF(INDEX(Mapping!$G$2:$G$181,MATCH($A67,Mapping!$F$2:$F$181,0)) = 0, IF(INDEX(Mapping!$I$2:$I$181,MATCH($A67,Mapping!$F$2:$F$181,0)) = 0, $A67, INDEX(Mapping!$I$2:$I$181,MATCH($A67,Mapping!$F$2:$F$181,0))), INDEX(Mapping!$G$2:$G$181,MATCH($A67,Mapping!$F$2:$F$181,0))), "")</f>
        <v>op_log linked index 28</v>
      </c>
      <c r="C67" s="1" t="str">
        <f>IFERROR(IF(INDEX(Mapping!$I$2:$I$181,MATCH($A67,Mapping!$F$2:$F$181,0)) = 0, "Metadata", INDEX(Mapping!$I$2:$I$181,MATCH($A67,Mapping!$F$2:$F$181,0))), "")</f>
        <v>op_log linked index 28</v>
      </c>
      <c r="D67" s="20" t="str">
        <f>IFERROR(IF(INDEX(Mapping!$H$2:$H$181,MATCH($A67,Mapping!$F$2:$F$181,0)) = 0, "", INDEX(Mapping!$H$2:$H$181,MATCH($A67,Mapping!$F$2:$F$181,0))), "")</f>
        <v>DbMetaData("Altenate Lot", vAlternateLot)</v>
      </c>
      <c r="E67" s="1" t="str">
        <f>IFERROR(IF(INDEX(Mapping!$C$2:$C$181,MATCH($A67,Mapping!$F$2:$F$181,0)) = 0, "", INDEX(Mapping!$C$2:$C$181,MATCH($A67,Mapping!$F$2:$F$181,0))), "")</f>
        <v/>
      </c>
      <c r="F67" s="20" t="str">
        <f>IFERROR(IF(INDEX(Mapping!$D$2:$D$181,MATCH($A67,Mapping!$F$2:$F$181,0)) = 0, "", INDEX(Mapping!$D$2:$D$181,MATCH($A67,Mapping!$F$2:$F$181,0))), "")</f>
        <v/>
      </c>
      <c r="G67" s="20" t="str">
        <f>IFERROR(IF(INDEX(Mapping!$E$2:$E$181,MATCH($A67,Mapping!$F$2:$F$181,0)) = 0, "", INDEX(Mapping!$E$2:$E$181,MATCH($A67,Mapping!$F$2:$F$181,0))), "")</f>
        <v/>
      </c>
      <c r="H67" s="1"/>
    </row>
    <row r="68" spans="1:8" x14ac:dyDescent="0.25">
      <c r="A68" s="1" t="s">
        <v>199</v>
      </c>
      <c r="B68" s="1" t="str">
        <f>IFERROR(IF(INDEX(Mapping!$G$2:$G$181,MATCH($A68,Mapping!$F$2:$F$181,0)) = 0, IF(INDEX(Mapping!$I$2:$I$181,MATCH($A68,Mapping!$F$2:$F$181,0)) = 0, $A68, INDEX(Mapping!$I$2:$I$181,MATCH($A68,Mapping!$F$2:$F$181,0))), INDEX(Mapping!$G$2:$G$181,MATCH($A68,Mapping!$F$2:$F$181,0))), "")</f>
        <v>res index</v>
      </c>
      <c r="C68" s="1" t="str">
        <f>IFERROR(IF(INDEX(Mapping!$I$2:$I$181,MATCH($A68,Mapping!$F$2:$F$181,0)) = 0, "Metadata", INDEX(Mapping!$I$2:$I$181,MATCH($A68,Mapping!$F$2:$F$181,0))), "")</f>
        <v>res index</v>
      </c>
      <c r="D68" s="20" t="str">
        <f>IFERROR(IF(INDEX(Mapping!$H$2:$H$181,MATCH($A68,Mapping!$F$2:$F$181,0)) = 0, "", INDEX(Mapping!$H$2:$H$181,MATCH($A68,Mapping!$F$2:$F$181,0))), "")</f>
        <v>die_index</v>
      </c>
      <c r="E68" s="1" t="str">
        <f>IFERROR(IF(INDEX(Mapping!$C$2:$C$181,MATCH($A68,Mapping!$F$2:$F$181,0)) = 0, "", INDEX(Mapping!$C$2:$C$181,MATCH($A68,Mapping!$F$2:$F$181,0))), "")</f>
        <v>[Serial/Sequence Number]</v>
      </c>
      <c r="F68" s="20" t="str">
        <f>IFERROR(IF(INDEX(Mapping!$D$2:$D$181,MATCH($A68,Mapping!$F$2:$F$181,0)) = 0, "", INDEX(Mapping!$D$2:$D$181,MATCH($A68,Mapping!$F$2:$F$181,0))), "")</f>
        <v/>
      </c>
      <c r="G68" s="20" t="str">
        <f>IFERROR(IF(INDEX(Mapping!$E$2:$E$181,MATCH($A68,Mapping!$F$2:$F$181,0)) = 0, "", INDEX(Mapping!$E$2:$E$181,MATCH($A68,Mapping!$F$2:$F$181,0))), "")</f>
        <v>PRR</v>
      </c>
      <c r="H68" s="1"/>
    </row>
    <row r="69" spans="1:8" x14ac:dyDescent="0.25">
      <c r="A69" s="1" t="s">
        <v>200</v>
      </c>
      <c r="B69" s="1" t="str">
        <f>IFERROR(IF(INDEX(Mapping!$G$2:$G$181,MATCH($A69,Mapping!$F$2:$F$181,0)) = 0, IF(INDEX(Mapping!$I$2:$I$181,MATCH($A69,Mapping!$F$2:$F$181,0)) = 0, $A69, INDEX(Mapping!$I$2:$I$181,MATCH($A69,Mapping!$F$2:$F$181,0))), INDEX(Mapping!$G$2:$G$181,MATCH($A69,Mapping!$F$2:$F$181,0))), "")</f>
        <v>res index</v>
      </c>
      <c r="C69" s="1" t="str">
        <f>IFERROR(IF(INDEX(Mapping!$I$2:$I$181,MATCH($A69,Mapping!$F$2:$F$181,0)) = 0, "Metadata", INDEX(Mapping!$I$2:$I$181,MATCH($A69,Mapping!$F$2:$F$181,0))), "")</f>
        <v>res index</v>
      </c>
      <c r="D69" s="20" t="str">
        <f>IFERROR(IF(INDEX(Mapping!$H$2:$H$181,MATCH($A69,Mapping!$F$2:$F$181,0)) = 0, "", INDEX(Mapping!$H$2:$H$181,MATCH($A69,Mapping!$F$2:$F$181,0))), "")</f>
        <v>ecid</v>
      </c>
      <c r="E69" s="1" t="str">
        <f>IFERROR(IF(INDEX(Mapping!$C$2:$C$181,MATCH($A69,Mapping!$F$2:$F$181,0)) = 0, "", INDEX(Mapping!$C$2:$C$181,MATCH($A69,Mapping!$F$2:$F$181,0))), "")</f>
        <v>[ECID]</v>
      </c>
      <c r="F69" s="20" t="str">
        <f>IFERROR(IF(INDEX(Mapping!$D$2:$D$181,MATCH($A69,Mapping!$F$2:$F$181,0)) = 0, "", INDEX(Mapping!$D$2:$D$181,MATCH($A69,Mapping!$F$2:$F$181,0))), "")</f>
        <v/>
      </c>
      <c r="G69" s="20" t="str">
        <f>IFERROR(IF(INDEX(Mapping!$E$2:$E$181,MATCH($A69,Mapping!$F$2:$F$181,0)) = 0, "", INDEX(Mapping!$E$2:$E$181,MATCH($A69,Mapping!$F$2:$F$181,0))), "")</f>
        <v/>
      </c>
      <c r="H69" s="1"/>
    </row>
    <row r="70" spans="1:8" x14ac:dyDescent="0.25">
      <c r="A70" s="1" t="s">
        <v>201</v>
      </c>
      <c r="B70" s="1" t="str">
        <f>IFERROR(IF(INDEX(Mapping!$G$2:$G$181,MATCH($A70,Mapping!$F$2:$F$181,0)) = 0, IF(INDEX(Mapping!$I$2:$I$181,MATCH($A70,Mapping!$F$2:$F$181,0)) = 0, $A70, INDEX(Mapping!$I$2:$I$181,MATCH($A70,Mapping!$F$2:$F$181,0))), INDEX(Mapping!$G$2:$G$181,MATCH($A70,Mapping!$F$2:$F$181,0))), "")</f>
        <v>res index</v>
      </c>
      <c r="C70" s="1" t="str">
        <f>IFERROR(IF(INDEX(Mapping!$I$2:$I$181,MATCH($A70,Mapping!$F$2:$F$181,0)) = 0, "Metadata", INDEX(Mapping!$I$2:$I$181,MATCH($A70,Mapping!$F$2:$F$181,0))), "")</f>
        <v>res index</v>
      </c>
      <c r="D70" s="20" t="str">
        <f>IFERROR(IF(INDEX(Mapping!$H$2:$H$181,MATCH($A70,Mapping!$F$2:$F$181,0)) = 0, "", INDEX(Mapping!$H$2:$H$181,MATCH($A70,Mapping!$F$2:$F$181,0))), "")</f>
        <v>pass_or_fail</v>
      </c>
      <c r="E70" s="1" t="str">
        <f>IFERROR(IF(INDEX(Mapping!$C$2:$C$181,MATCH($A70,Mapping!$F$2:$F$181,0)) = 0, "", INDEX(Mapping!$C$2:$C$181,MATCH($A70,Mapping!$F$2:$F$181,0))), "")</f>
        <v>[Part Pass/Fail Flag (from tester)]</v>
      </c>
      <c r="F70" s="20" t="str">
        <f>IFERROR(IF(INDEX(Mapping!$D$2:$D$181,MATCH($A70,Mapping!$F$2:$F$181,0)) = 0, "", INDEX(Mapping!$D$2:$D$181,MATCH($A70,Mapping!$F$2:$F$181,0))), "")</f>
        <v/>
      </c>
      <c r="G70" s="20" t="str">
        <f>IFERROR(IF(INDEX(Mapping!$E$2:$E$181,MATCH($A70,Mapping!$F$2:$F$181,0)) = 0, "", INDEX(Mapping!$E$2:$E$181,MATCH($A70,Mapping!$F$2:$F$181,0))), "")</f>
        <v/>
      </c>
      <c r="H70" s="1"/>
    </row>
    <row r="71" spans="1:8" x14ac:dyDescent="0.25">
      <c r="A71" s="1" t="s">
        <v>202</v>
      </c>
      <c r="B71" s="1" t="str">
        <f>IFERROR(IF(INDEX(Mapping!$G$2:$G$181,MATCH($A71,Mapping!$F$2:$F$181,0)) = 0, IF(INDEX(Mapping!$I$2:$I$181,MATCH($A71,Mapping!$F$2:$F$181,0)) = 0, $A71, INDEX(Mapping!$I$2:$I$181,MATCH($A71,Mapping!$F$2:$F$181,0))), INDEX(Mapping!$G$2:$G$181,MATCH($A71,Mapping!$F$2:$F$181,0))), "")</f>
        <v>Time Since First Touchdown</v>
      </c>
      <c r="C71" s="1" t="str">
        <f>IFERROR(IF(INDEX(Mapping!$I$2:$I$181,MATCH($A71,Mapping!$F$2:$F$181,0)) = 0, "Metadata", INDEX(Mapping!$I$2:$I$181,MATCH($A71,Mapping!$F$2:$F$181,0))), "")</f>
        <v>Metadata</v>
      </c>
      <c r="D71" s="20" t="str">
        <f>IFERROR(IF(INDEX(Mapping!$H$2:$H$181,MATCH($A71,Mapping!$F$2:$F$181,0)) = 0, "", INDEX(Mapping!$H$2:$H$181,MATCH($A71,Mapping!$F$2:$F$181,0))), "")</f>
        <v/>
      </c>
      <c r="E71" s="1" t="str">
        <f>IFERROR(IF(INDEX(Mapping!$C$2:$C$181,MATCH($A71,Mapping!$F$2:$F$181,0)) = 0, "", INDEX(Mapping!$C$2:$C$181,MATCH($A71,Mapping!$F$2:$F$181,0))), "")</f>
        <v/>
      </c>
      <c r="F71" s="20" t="str">
        <f>IFERROR(IF(INDEX(Mapping!$D$2:$D$181,MATCH($A71,Mapping!$F$2:$F$181,0)) = 0, "", INDEX(Mapping!$D$2:$D$181,MATCH($A71,Mapping!$F$2:$F$181,0))), "")</f>
        <v/>
      </c>
      <c r="G71" s="20" t="str">
        <f>IFERROR(IF(INDEX(Mapping!$E$2:$E$181,MATCH($A71,Mapping!$F$2:$F$181,0)) = 0, "", INDEX(Mapping!$E$2:$E$181,MATCH($A71,Mapping!$F$2:$F$181,0))), "")</f>
        <v/>
      </c>
      <c r="H71" s="1"/>
    </row>
    <row r="72" spans="1:8" x14ac:dyDescent="0.25">
      <c r="A72" s="1" t="s">
        <v>203</v>
      </c>
      <c r="B72" s="1" t="str">
        <f>IFERROR(IF(INDEX(Mapping!$G$2:$G$181,MATCH($A72,Mapping!$F$2:$F$181,0)) = 0, IF(INDEX(Mapping!$I$2:$I$181,MATCH($A72,Mapping!$F$2:$F$181,0)) = 0, $A72, INDEX(Mapping!$I$2:$I$181,MATCH($A72,Mapping!$F$2:$F$181,0))), INDEX(Mapping!$G$2:$G$181,MATCH($A72,Mapping!$F$2:$F$181,0))), "")</f>
        <v>Time Since Previous Touchdown</v>
      </c>
      <c r="C72" s="1" t="str">
        <f>IFERROR(IF(INDEX(Mapping!$I$2:$I$181,MATCH($A72,Mapping!$F$2:$F$181,0)) = 0, "Metadata", INDEX(Mapping!$I$2:$I$181,MATCH($A72,Mapping!$F$2:$F$181,0))), "")</f>
        <v>Metadata</v>
      </c>
      <c r="D72" s="20" t="str">
        <f>IFERROR(IF(INDEX(Mapping!$H$2:$H$181,MATCH($A72,Mapping!$F$2:$F$181,0)) = 0, "", INDEX(Mapping!$H$2:$H$181,MATCH($A72,Mapping!$F$2:$F$181,0))), "")</f>
        <v/>
      </c>
      <c r="E72" s="1" t="str">
        <f>IFERROR(IF(INDEX(Mapping!$C$2:$C$181,MATCH($A72,Mapping!$F$2:$F$181,0)) = 0, "", INDEX(Mapping!$C$2:$C$181,MATCH($A72,Mapping!$F$2:$F$181,0))), "")</f>
        <v/>
      </c>
      <c r="F72" s="20" t="str">
        <f>IFERROR(IF(INDEX(Mapping!$D$2:$D$181,MATCH($A72,Mapping!$F$2:$F$181,0)) = 0, "", INDEX(Mapping!$D$2:$D$181,MATCH($A72,Mapping!$F$2:$F$181,0))), "")</f>
        <v/>
      </c>
      <c r="G72" s="20" t="str">
        <f>IFERROR(IF(INDEX(Mapping!$E$2:$E$181,MATCH($A72,Mapping!$F$2:$F$181,0)) = 0, "", INDEX(Mapping!$E$2:$E$181,MATCH($A72,Mapping!$F$2:$F$181,0))), "")</f>
        <v/>
      </c>
      <c r="H72" s="1"/>
    </row>
    <row r="73" spans="1:8" x14ac:dyDescent="0.25">
      <c r="A73" s="1" t="s">
        <v>204</v>
      </c>
      <c r="B73" s="1" t="str">
        <f>IFERROR(IF(INDEX(Mapping!$G$2:$G$181,MATCH($A73,Mapping!$F$2:$F$181,0)) = 0, IF(INDEX(Mapping!$I$2:$I$181,MATCH($A73,Mapping!$F$2:$F$181,0)) = 0, $A73, INDEX(Mapping!$I$2:$I$181,MATCH($A73,Mapping!$F$2:$F$181,0))), INDEX(Mapping!$G$2:$G$181,MATCH($A73,Mapping!$F$2:$F$181,0))), "")</f>
        <v>parameter</v>
      </c>
      <c r="C73" s="1" t="str">
        <f>IFERROR(IF(INDEX(Mapping!$I$2:$I$181,MATCH($A73,Mapping!$F$2:$F$181,0)) = 0, "Metadata", INDEX(Mapping!$I$2:$I$181,MATCH($A73,Mapping!$F$2:$F$181,0))), "")</f>
        <v>parameter</v>
      </c>
      <c r="D73" s="20" t="str">
        <f>IFERROR(IF(INDEX(Mapping!$H$2:$H$181,MATCH($A73,Mapping!$F$2:$F$181,0)) = 0, "", INDEX(Mapping!$H$2:$H$181,MATCH($A73,Mapping!$F$2:$F$181,0))), "")</f>
        <v/>
      </c>
      <c r="E73" s="1" t="str">
        <f>IFERROR(IF(INDEX(Mapping!$C$2:$C$181,MATCH($A73,Mapping!$F$2:$F$181,0)) = 0, "", INDEX(Mapping!$C$2:$C$181,MATCH($A73,Mapping!$F$2:$F$181,0))), "")</f>
        <v>[Test Execution Time]</v>
      </c>
      <c r="F73" s="20" t="str">
        <f>IFERROR(IF(INDEX(Mapping!$D$2:$D$181,MATCH($A73,Mapping!$F$2:$F$181,0)) = 0, "", INDEX(Mapping!$D$2:$D$181,MATCH($A73,Mapping!$F$2:$F$181,0))), "")</f>
        <v/>
      </c>
      <c r="G73" s="20" t="str">
        <f>IFERROR(IF(INDEX(Mapping!$E$2:$E$181,MATCH($A73,Mapping!$F$2:$F$181,0)) = 0, "", INDEX(Mapping!$E$2:$E$181,MATCH($A73,Mapping!$F$2:$F$181,0))), "")</f>
        <v>PRR.TEST_T</v>
      </c>
      <c r="H73" s="1"/>
    </row>
    <row r="74" spans="1:8" x14ac:dyDescent="0.25">
      <c r="A74" s="1" t="s">
        <v>206</v>
      </c>
      <c r="B74" s="1" t="str">
        <f>IFERROR(IF(INDEX(Mapping!$G$2:$G$181,MATCH($A74,Mapping!$F$2:$F$181,0)) = 0, IF(INDEX(Mapping!$I$2:$I$181,MATCH($A74,Mapping!$F$2:$F$181,0)) = 0, $A74, INDEX(Mapping!$I$2:$I$181,MATCH($A74,Mapping!$F$2:$F$181,0))), INDEX(Mapping!$G$2:$G$181,MATCH($A74,Mapping!$F$2:$F$181,0))), "")</f>
        <v>res index</v>
      </c>
      <c r="C74" s="1" t="str">
        <f>IFERROR(IF(INDEX(Mapping!$I$2:$I$181,MATCH($A74,Mapping!$F$2:$F$181,0)) = 0, "Metadata", INDEX(Mapping!$I$2:$I$181,MATCH($A74,Mapping!$F$2:$F$181,0))), "")</f>
        <v>res index</v>
      </c>
      <c r="D74" s="20" t="str">
        <f>IFERROR(IF(INDEX(Mapping!$H$2:$H$181,MATCH($A74,Mapping!$F$2:$F$181,0)) = 0, "", INDEX(Mapping!$H$2:$H$181,MATCH($A74,Mapping!$F$2:$F$181,0))), "")</f>
        <v>bindesc</v>
      </c>
      <c r="E74" s="1" t="str">
        <f>IFERROR(IF(INDEX(Mapping!$C$2:$C$181,MATCH($A74,Mapping!$F$2:$F$181,0)) = 0, "", INDEX(Mapping!$C$2:$C$181,MATCH($A74,Mapping!$F$2:$F$181,0))), "")</f>
        <v>[BinDesc]</v>
      </c>
      <c r="F74" s="20" t="str">
        <f>IFERROR(IF(INDEX(Mapping!$D$2:$D$181,MATCH($A74,Mapping!$F$2:$F$181,0)) = 0, "", INDEX(Mapping!$D$2:$D$181,MATCH($A74,Mapping!$F$2:$F$181,0))), "")</f>
        <v/>
      </c>
      <c r="G74" s="20" t="str">
        <f>IFERROR(IF(INDEX(Mapping!$E$2:$E$181,MATCH($A74,Mapping!$F$2:$F$181,0)) = 0, "", INDEX(Mapping!$E$2:$E$181,MATCH($A74,Mapping!$F$2:$F$181,0))), "")</f>
        <v>SBR.BIN_NAME</v>
      </c>
      <c r="H74" s="1"/>
    </row>
    <row r="75" spans="1:8" x14ac:dyDescent="0.25">
      <c r="A75" s="1" t="s">
        <v>209</v>
      </c>
      <c r="B75" s="1" t="str">
        <f>IFERROR(IF(INDEX(Mapping!$G$2:$G$181,MATCH($A75,Mapping!$F$2:$F$181,0)) = 0, IF(INDEX(Mapping!$I$2:$I$181,MATCH($A75,Mapping!$F$2:$F$181,0)) = 0, $A75, INDEX(Mapping!$I$2:$I$181,MATCH($A75,Mapping!$F$2:$F$181,0))), INDEX(Mapping!$G$2:$G$181,MATCH($A75,Mapping!$F$2:$F$181,0))), "")</f>
        <v>condition</v>
      </c>
      <c r="C75" s="1" t="str">
        <f>IFERROR(IF(INDEX(Mapping!$I$2:$I$181,MATCH($A75,Mapping!$F$2:$F$181,0)) = 0, "Metadata", INDEX(Mapping!$I$2:$I$181,MATCH($A75,Mapping!$F$2:$F$181,0))), "")</f>
        <v>condition</v>
      </c>
      <c r="D75" s="20" t="str">
        <f>IFERROR(IF(INDEX(Mapping!$H$2:$H$181,MATCH($A75,Mapping!$F$2:$F$181,0)) = 0, "", INDEX(Mapping!$H$2:$H$181,MATCH($A75,Mapping!$F$2:$F$181,0))), "")</f>
        <v/>
      </c>
      <c r="E75" s="1" t="str">
        <f>IFERROR(IF(INDEX(Mapping!$C$2:$C$181,MATCH($A75,Mapping!$F$2:$F$181,0)) = 0, "", INDEX(Mapping!$C$2:$C$181,MATCH($A75,Mapping!$F$2:$F$181,0))), "")</f>
        <v/>
      </c>
      <c r="F75" s="20" t="str">
        <f>IFERROR(IF(INDEX(Mapping!$D$2:$D$181,MATCH($A75,Mapping!$F$2:$F$181,0)) = 0, "", INDEX(Mapping!$D$2:$D$181,MATCH($A75,Mapping!$F$2:$F$181,0))), "")</f>
        <v/>
      </c>
      <c r="G75" s="20" t="str">
        <f>IFERROR(IF(INDEX(Mapping!$E$2:$E$181,MATCH($A75,Mapping!$F$2:$F$181,0)) = 0, "", INDEX(Mapping!$E$2:$E$181,MATCH($A75,Mapping!$F$2:$F$181,0))), "")</f>
        <v/>
      </c>
      <c r="H75" s="1"/>
    </row>
    <row r="76" spans="1:8" x14ac:dyDescent="0.25">
      <c r="A76" s="1" t="s">
        <v>210</v>
      </c>
      <c r="B76" s="1" t="str">
        <f>IFERROR(IF(INDEX(Mapping!$G$2:$G$181,MATCH($A76,Mapping!$F$2:$F$181,0)) = 0, IF(INDEX(Mapping!$I$2:$I$181,MATCH($A76,Mapping!$F$2:$F$181,0)) = 0, $A76, INDEX(Mapping!$I$2:$I$181,MATCH($A76,Mapping!$F$2:$F$181,0))), INDEX(Mapping!$G$2:$G$181,MATCH($A76,Mapping!$F$2:$F$181,0))), "")</f>
        <v>Test flags / alarms (multiple)</v>
      </c>
      <c r="C76" s="1" t="str">
        <f>IFERROR(IF(INDEX(Mapping!$I$2:$I$181,MATCH($A76,Mapping!$F$2:$F$181,0)) = 0, "Metadata", INDEX(Mapping!$I$2:$I$181,MATCH($A76,Mapping!$F$2:$F$181,0))), "")</f>
        <v>Metadata</v>
      </c>
      <c r="D76" s="20" t="str">
        <f>IFERROR(IF(INDEX(Mapping!$H$2:$H$181,MATCH($A76,Mapping!$F$2:$F$181,0)) = 0, "", INDEX(Mapping!$H$2:$H$181,MATCH($A76,Mapping!$F$2:$F$181,0))), "")</f>
        <v/>
      </c>
      <c r="E76" s="1" t="str">
        <f>IFERROR(IF(INDEX(Mapping!$C$2:$C$181,MATCH($A76,Mapping!$F$2:$F$181,0)) = 0, "", INDEX(Mapping!$C$2:$C$181,MATCH($A76,Mapping!$F$2:$F$181,0))), "")</f>
        <v/>
      </c>
      <c r="F76" s="20" t="str">
        <f>IFERROR(IF(INDEX(Mapping!$D$2:$D$181,MATCH($A76,Mapping!$F$2:$F$181,0)) = 0, "", INDEX(Mapping!$D$2:$D$181,MATCH($A76,Mapping!$F$2:$F$181,0))), "")</f>
        <v/>
      </c>
      <c r="G76" s="20" t="str">
        <f>IFERROR(IF(INDEX(Mapping!$E$2:$E$181,MATCH($A76,Mapping!$F$2:$F$181,0)) = 0, "", INDEX(Mapping!$E$2:$E$181,MATCH($A76,Mapping!$F$2:$F$181,0))), "")</f>
        <v/>
      </c>
      <c r="H76" s="1"/>
    </row>
    <row r="77" spans="1:8" x14ac:dyDescent="0.25">
      <c r="A77" s="1" t="s">
        <v>315</v>
      </c>
      <c r="B77" s="1" t="str">
        <f>IFERROR(IF(INDEX(Mapping!$G$2:$G$181,MATCH($A77,Mapping!$F$2:$F$181,0)) = 0, IF(INDEX(Mapping!$I$2:$I$181,MATCH($A77,Mapping!$F$2:$F$181,0)) = 0, $A77, INDEX(Mapping!$I$2:$I$181,MATCH($A77,Mapping!$F$2:$F$181,0))), INDEX(Mapping!$G$2:$G$181,MATCH($A77,Mapping!$F$2:$F$181,0))), "")</f>
        <v>res index</v>
      </c>
      <c r="C77" s="1" t="str">
        <f>IFERROR(IF(INDEX(Mapping!$I$2:$I$181,MATCH($A77,Mapping!$F$2:$F$181,0)) = 0, "Metadata", INDEX(Mapping!$I$2:$I$181,MATCH($A77,Mapping!$F$2:$F$181,0))), "")</f>
        <v>res index</v>
      </c>
      <c r="D77" s="20" t="str">
        <f>IFERROR(IF(INDEX(Mapping!$H$2:$H$181,MATCH($A77,Mapping!$F$2:$F$181,0)) = 0, "", INDEX(Mapping!$H$2:$H$181,MATCH($A77,Mapping!$F$2:$F$181,0))), "")</f>
        <v>orig_x</v>
      </c>
      <c r="E77" s="1" t="str">
        <f>IFERROR(IF(INDEX(Mapping!$C$2:$C$181,MATCH($A77,Mapping!$F$2:$F$181,0)) = 0, "", INDEX(Mapping!$C$2:$C$181,MATCH($A77,Mapping!$F$2:$F$181,0))), "")</f>
        <v>[orig_x]</v>
      </c>
      <c r="F77" s="20" t="str">
        <f>IFERROR(IF(INDEX(Mapping!$D$2:$D$181,MATCH($A77,Mapping!$F$2:$F$181,0)) = 0, "", INDEX(Mapping!$D$2:$D$181,MATCH($A77,Mapping!$F$2:$F$181,0))), "")</f>
        <v/>
      </c>
      <c r="G77" s="20" t="str">
        <f>IFERROR(IF(INDEX(Mapping!$E$2:$E$181,MATCH($A77,Mapping!$F$2:$F$181,0)) = 0, "", INDEX(Mapping!$E$2:$E$181,MATCH($A77,Mapping!$F$2:$F$181,0))), "")</f>
        <v/>
      </c>
      <c r="H77" s="1"/>
    </row>
    <row r="78" spans="1:8" x14ac:dyDescent="0.25">
      <c r="A78" s="1" t="s">
        <v>316</v>
      </c>
      <c r="B78" s="1" t="str">
        <f>IFERROR(IF(INDEX(Mapping!$G$2:$G$181,MATCH($A78,Mapping!$F$2:$F$181,0)) = 0, IF(INDEX(Mapping!$I$2:$I$181,MATCH($A78,Mapping!$F$2:$F$181,0)) = 0, $A78, INDEX(Mapping!$I$2:$I$181,MATCH($A78,Mapping!$F$2:$F$181,0))), INDEX(Mapping!$G$2:$G$181,MATCH($A78,Mapping!$F$2:$F$181,0))), "")</f>
        <v>res index</v>
      </c>
      <c r="C78" s="1" t="str">
        <f>IFERROR(IF(INDEX(Mapping!$I$2:$I$181,MATCH($A78,Mapping!$F$2:$F$181,0)) = 0, "Metadata", INDEX(Mapping!$I$2:$I$181,MATCH($A78,Mapping!$F$2:$F$181,0))), "")</f>
        <v>res index</v>
      </c>
      <c r="D78" s="20" t="str">
        <f>IFERROR(IF(INDEX(Mapping!$H$2:$H$181,MATCH($A78,Mapping!$F$2:$F$181,0)) = 0, "", INDEX(Mapping!$H$2:$H$181,MATCH($A78,Mapping!$F$2:$F$181,0))), "")</f>
        <v>orig_y</v>
      </c>
      <c r="E78" s="1" t="str">
        <f>IFERROR(IF(INDEX(Mapping!$C$2:$C$181,MATCH($A78,Mapping!$F$2:$F$181,0)) = 0, "", INDEX(Mapping!$C$2:$C$181,MATCH($A78,Mapping!$F$2:$F$181,0))), "")</f>
        <v>[orig_y]</v>
      </c>
      <c r="F78" s="20" t="str">
        <f>IFERROR(IF(INDEX(Mapping!$D$2:$D$181,MATCH($A78,Mapping!$F$2:$F$181,0)) = 0, "", INDEX(Mapping!$D$2:$D$181,MATCH($A78,Mapping!$F$2:$F$181,0))), "")</f>
        <v/>
      </c>
      <c r="G78" s="20" t="str">
        <f>IFERROR(IF(INDEX(Mapping!$E$2:$E$181,MATCH($A78,Mapping!$F$2:$F$181,0)) = 0, "", INDEX(Mapping!$E$2:$E$181,MATCH($A78,Mapping!$F$2:$F$181,0))), "")</f>
        <v/>
      </c>
      <c r="H78" s="1"/>
    </row>
    <row r="79" spans="1:8" x14ac:dyDescent="0.25">
      <c r="A79" s="1" t="s">
        <v>317</v>
      </c>
      <c r="B79" s="1" t="str">
        <f>IFERROR(IF(INDEX(Mapping!$G$2:$G$181,MATCH($A79,Mapping!$F$2:$F$181,0)) = 0, IF(INDEX(Mapping!$I$2:$I$181,MATCH($A79,Mapping!$F$2:$F$181,0)) = 0, $A79, INDEX(Mapping!$I$2:$I$181,MATCH($A79,Mapping!$F$2:$F$181,0))), INDEX(Mapping!$G$2:$G$181,MATCH($A79,Mapping!$F$2:$F$181,0))), "")</f>
        <v>res index</v>
      </c>
      <c r="C79" s="1" t="str">
        <f>IFERROR(IF(INDEX(Mapping!$I$2:$I$181,MATCH($A79,Mapping!$F$2:$F$181,0)) = 0, "Metadata", INDEX(Mapping!$I$2:$I$181,MATCH($A79,Mapping!$F$2:$F$181,0))), "")</f>
        <v>res index</v>
      </c>
      <c r="D79" s="20" t="str">
        <f>IFERROR(IF(INDEX(Mapping!$H$2:$H$181,MATCH($A79,Mapping!$F$2:$F$181,0)) = 0, "", INDEX(Mapping!$H$2:$H$181,MATCH($A79,Mapping!$F$2:$F$181,0))), "")</f>
        <v>reticle_x</v>
      </c>
      <c r="E79" s="1" t="str">
        <f>IFERROR(IF(INDEX(Mapping!$C$2:$C$181,MATCH($A79,Mapping!$F$2:$F$181,0)) = 0, "", INDEX(Mapping!$C$2:$C$181,MATCH($A79,Mapping!$F$2:$F$181,0))), "")</f>
        <v>[reticle_x]</v>
      </c>
      <c r="F79" s="20" t="str">
        <f>IFERROR(IF(INDEX(Mapping!$D$2:$D$181,MATCH($A79,Mapping!$F$2:$F$181,0)) = 0, "", INDEX(Mapping!$D$2:$D$181,MATCH($A79,Mapping!$F$2:$F$181,0))), "")</f>
        <v/>
      </c>
      <c r="G79" s="20" t="str">
        <f>IFERROR(IF(INDEX(Mapping!$E$2:$E$181,MATCH($A79,Mapping!$F$2:$F$181,0)) = 0, "", INDEX(Mapping!$E$2:$E$181,MATCH($A79,Mapping!$F$2:$F$181,0))), "")</f>
        <v/>
      </c>
      <c r="H79" s="1"/>
    </row>
    <row r="80" spans="1:8" x14ac:dyDescent="0.25">
      <c r="A80" s="1" t="s">
        <v>318</v>
      </c>
      <c r="B80" s="1" t="str">
        <f>IFERROR(IF(INDEX(Mapping!$G$2:$G$181,MATCH($A80,Mapping!$F$2:$F$181,0)) = 0, IF(INDEX(Mapping!$I$2:$I$181,MATCH($A80,Mapping!$F$2:$F$181,0)) = 0, $A80, INDEX(Mapping!$I$2:$I$181,MATCH($A80,Mapping!$F$2:$F$181,0))), INDEX(Mapping!$G$2:$G$181,MATCH($A80,Mapping!$F$2:$F$181,0))), "")</f>
        <v>res index</v>
      </c>
      <c r="C80" s="1" t="str">
        <f>IFERROR(IF(INDEX(Mapping!$I$2:$I$181,MATCH($A80,Mapping!$F$2:$F$181,0)) = 0, "Metadata", INDEX(Mapping!$I$2:$I$181,MATCH($A80,Mapping!$F$2:$F$181,0))), "")</f>
        <v>res index</v>
      </c>
      <c r="D80" s="20" t="str">
        <f>IFERROR(IF(INDEX(Mapping!$H$2:$H$181,MATCH($A80,Mapping!$F$2:$F$181,0)) = 0, "", INDEX(Mapping!$H$2:$H$181,MATCH($A80,Mapping!$F$2:$F$181,0))), "")</f>
        <v>recitcle_y</v>
      </c>
      <c r="E80" s="1" t="str">
        <f>IFERROR(IF(INDEX(Mapping!$C$2:$C$181,MATCH($A80,Mapping!$F$2:$F$181,0)) = 0, "", INDEX(Mapping!$C$2:$C$181,MATCH($A80,Mapping!$F$2:$F$181,0))), "")</f>
        <v>[recitcle_y]</v>
      </c>
      <c r="F80" s="20" t="str">
        <f>IFERROR(IF(INDEX(Mapping!$D$2:$D$181,MATCH($A80,Mapping!$F$2:$F$181,0)) = 0, "", INDEX(Mapping!$D$2:$D$181,MATCH($A80,Mapping!$F$2:$F$181,0))), "")</f>
        <v/>
      </c>
      <c r="G80" s="20" t="str">
        <f>IFERROR(IF(INDEX(Mapping!$E$2:$E$181,MATCH($A80,Mapping!$F$2:$F$181,0)) = 0, "", INDEX(Mapping!$E$2:$E$181,MATCH($A80,Mapping!$F$2:$F$181,0))), "")</f>
        <v/>
      </c>
      <c r="H80" s="1"/>
    </row>
    <row r="81" spans="1:8" x14ac:dyDescent="0.25">
      <c r="A81" s="1" t="s">
        <v>331</v>
      </c>
      <c r="B81" s="1" t="str">
        <f>IFERROR(IF(INDEX(Mapping!$G$2:$G$181,MATCH($A81,Mapping!$F$2:$F$181,0)) = 0, IF(INDEX(Mapping!$I$2:$I$181,MATCH($A81,Mapping!$F$2:$F$181,0)) = 0, $A81, INDEX(Mapping!$I$2:$I$181,MATCH($A81,Mapping!$F$2:$F$181,0))), INDEX(Mapping!$G$2:$G$181,MATCH($A81,Mapping!$F$2:$F$181,0))), "")</f>
        <v>Test site ID</v>
      </c>
      <c r="C81" s="1" t="str">
        <f>IFERROR(IF(INDEX(Mapping!$I$2:$I$181,MATCH($A81,Mapping!$F$2:$F$181,0)) = 0, "Metadata", INDEX(Mapping!$I$2:$I$181,MATCH($A81,Mapping!$F$2:$F$181,0))), "")</f>
        <v>Metadata</v>
      </c>
      <c r="D81" s="20" t="str">
        <f>IFERROR(IF(INDEX(Mapping!$H$2:$H$181,MATCH($A81,Mapping!$F$2:$F$181,0)) = 0, "", INDEX(Mapping!$H$2:$H$181,MATCH($A81,Mapping!$F$2:$F$181,0))), "")</f>
        <v>TestSite (Index)</v>
      </c>
      <c r="E81" s="1" t="str">
        <f>IFERROR(IF(INDEX(Mapping!$C$2:$C$181,MATCH($A81,Mapping!$F$2:$F$181,0)) = 0, "", INDEX(Mapping!$C$2:$C$181,MATCH($A81,Mapping!$F$2:$F$181,0))), "")</f>
        <v>File/Lot/Wafer/ParametricData/Unit[Site]</v>
      </c>
      <c r="F81" s="20" t="str">
        <f>IFERROR(IF(INDEX(Mapping!$D$2:$D$181,MATCH($A81,Mapping!$F$2:$F$181,0)) = 0, "", INDEX(Mapping!$D$2:$D$181,MATCH($A81,Mapping!$F$2:$F$181,0))), "")</f>
        <v/>
      </c>
      <c r="G81" s="20" t="str">
        <f>IFERROR(IF(INDEX(Mapping!$E$2:$E$181,MATCH($A81,Mapping!$F$2:$F$181,0)) = 0, "", INDEX(Mapping!$E$2:$E$181,MATCH($A81,Mapping!$F$2:$F$181,0))), "")</f>
        <v/>
      </c>
      <c r="H81" s="1"/>
    </row>
    <row r="82" spans="1:8" x14ac:dyDescent="0.25">
      <c r="A82" s="1" t="s">
        <v>333</v>
      </c>
      <c r="B82" s="1" t="str">
        <f>IFERROR(IF(INDEX(Mapping!$G$2:$G$181,MATCH($A82,Mapping!$F$2:$F$181,0)) = 0, IF(INDEX(Mapping!$I$2:$I$181,MATCH($A82,Mapping!$F$2:$F$181,0)) = 0, $A82, INDEX(Mapping!$I$2:$I$181,MATCH($A82,Mapping!$F$2:$F$181,0))), INDEX(Mapping!$G$2:$G$181,MATCH($A82,Mapping!$F$2:$F$181,0))), "")</f>
        <v>res index</v>
      </c>
      <c r="C82" s="1" t="str">
        <f>IFERROR(IF(INDEX(Mapping!$I$2:$I$181,MATCH($A82,Mapping!$F$2:$F$181,0)) = 0, "Metadata", INDEX(Mapping!$I$2:$I$181,MATCH($A82,Mapping!$F$2:$F$181,0))), "")</f>
        <v>res index</v>
      </c>
      <c r="D82" s="20" t="str">
        <f>IFERROR(IF(INDEX(Mapping!$H$2:$H$181,MATCH($A82,Mapping!$F$2:$F$181,0)) = 0, "", INDEX(Mapping!$H$2:$H$181,MATCH($A82,Mapping!$F$2:$F$181,0))), "")</f>
        <v>touchdown_num</v>
      </c>
      <c r="E82" s="1" t="str">
        <f>IFERROR(IF(INDEX(Mapping!$C$2:$C$181,MATCH($A82,Mapping!$F$2:$F$181,0)) = 0, "", INDEX(Mapping!$C$2:$C$181,MATCH($A82,Mapping!$F$2:$F$181,0))), "")</f>
        <v>[Touchdown number]</v>
      </c>
      <c r="F82" s="20" t="str">
        <f>IFERROR(IF(INDEX(Mapping!$D$2:$D$181,MATCH($A82,Mapping!$F$2:$F$181,0)) = 0, "", INDEX(Mapping!$D$2:$D$181,MATCH($A82,Mapping!$F$2:$F$181,0))), "")</f>
        <v/>
      </c>
      <c r="G82" s="20" t="str">
        <f>IFERROR(IF(INDEX(Mapping!$E$2:$E$181,MATCH($A82,Mapping!$F$2:$F$181,0)) = 0, "", INDEX(Mapping!$E$2:$E$181,MATCH($A82,Mapping!$F$2:$F$181,0))), "")</f>
        <v/>
      </c>
      <c r="H82" s="1"/>
    </row>
    <row r="83" spans="1:8" x14ac:dyDescent="0.25">
      <c r="A83" s="1" t="s">
        <v>340</v>
      </c>
      <c r="B83" s="1" t="str">
        <f>IFERROR(IF(INDEX(Mapping!$G$2:$G$181,MATCH($A83,Mapping!$F$2:$F$181,0)) = 0, IF(INDEX(Mapping!$I$2:$I$181,MATCH($A83,Mapping!$F$2:$F$181,0)) = 0, $A83, INDEX(Mapping!$I$2:$I$181,MATCH($A83,Mapping!$F$2:$F$181,0))), INDEX(Mapping!$G$2:$G$181,MATCH($A83,Mapping!$F$2:$F$181,0))), "")</f>
        <v/>
      </c>
      <c r="C83" s="1" t="str">
        <f>IFERROR(IF(INDEX(Mapping!$I$2:$I$181,MATCH($A83,Mapping!$F$2:$F$181,0)) = 0, "Metadata", INDEX(Mapping!$I$2:$I$181,MATCH($A83,Mapping!$F$2:$F$181,0))), "")</f>
        <v/>
      </c>
      <c r="D83" s="20" t="str">
        <f>IFERROR(IF(INDEX(Mapping!$H$2:$H$181,MATCH($A83,Mapping!$F$2:$F$181,0)) = 0, "", INDEX(Mapping!$H$2:$H$181,MATCH($A83,Mapping!$F$2:$F$181,0))), "")</f>
        <v/>
      </c>
      <c r="E83" s="1" t="str">
        <f>IFERROR(IF(INDEX(Mapping!$C$2:$C$181,MATCH($A83,Mapping!$F$2:$F$181,0)) = 0, "", INDEX(Mapping!$C$2:$C$181,MATCH($A83,Mapping!$F$2:$F$181,0))), "")</f>
        <v/>
      </c>
      <c r="F83" s="1" t="str">
        <f>IFERROR(IF(INDEX(Mapping!$D$2:$D$181,MATCH($A83,Mapping!$F$2:$F$181,0)) = 0, "", INDEX(Mapping!$D$2:$D$181,MATCH($A83,Mapping!$F$2:$F$181,0))), "")</f>
        <v/>
      </c>
      <c r="G83" s="20" t="str">
        <f>IFERROR(IF(INDEX(Mapping!$E$2:$E$181,MATCH($A83,Mapping!$F$2:$F$181,0)) = 0, "", INDEX(Mapping!$E$2:$E$181,MATCH($A83,Mapping!$F$2:$F$181,0))), "")</f>
        <v/>
      </c>
      <c r="H83" s="1"/>
    </row>
    <row r="86" spans="1:8" ht="15.75" thickBot="1" x14ac:dyDescent="0.3"/>
    <row r="87" spans="1:8" ht="15.75" thickBot="1" x14ac:dyDescent="0.3">
      <c r="A87" s="6" t="s">
        <v>63</v>
      </c>
      <c r="B87" s="7" t="s">
        <v>64</v>
      </c>
      <c r="C87" s="7" t="s">
        <v>44</v>
      </c>
      <c r="D87" s="7" t="s">
        <v>65</v>
      </c>
      <c r="E87" s="7" t="s">
        <v>49</v>
      </c>
      <c r="F87" s="7"/>
      <c r="G87" s="7"/>
      <c r="H87" s="7" t="s">
        <v>150</v>
      </c>
    </row>
    <row r="88" spans="1:8" ht="15.75" thickBot="1" x14ac:dyDescent="0.3">
      <c r="A88" s="8" t="s">
        <v>66</v>
      </c>
      <c r="B88" s="9" t="s">
        <v>67</v>
      </c>
      <c r="C88" s="9" t="s">
        <v>68</v>
      </c>
      <c r="D88" s="9" t="s">
        <v>60</v>
      </c>
      <c r="E88" s="25" t="str">
        <f>IFERROR(IF(INDEX(Mapping!$A$2:$A$181,MATCH($A88,Mapping!$F$2:$F$181,0))=0,"",INDEX(Mapping!$A$2:$A$181,MATCH($A88,Mapping!$F$2:$F$181,0))),"")</f>
        <v>LotG/SourceLot/Lot</v>
      </c>
      <c r="F88" s="25"/>
      <c r="G88" s="25"/>
      <c r="H88" s="25" t="str">
        <f>IFERROR(IF(INDEX(Mapping!$L$2:$L$181,MATCH($A88,Mapping!$F$2:$F$181,0)) = 0, "", INDEX(Mapping!$L$2:$L$181,MATCH($A88,Mapping!$F$2:$F$181,0))), "")</f>
        <v/>
      </c>
    </row>
    <row r="89" spans="1:8" ht="15.75" thickBot="1" x14ac:dyDescent="0.3">
      <c r="A89" s="26" t="s">
        <v>69</v>
      </c>
      <c r="B89" s="9" t="s">
        <v>70</v>
      </c>
      <c r="C89" s="9" t="s">
        <v>68</v>
      </c>
      <c r="D89" s="9" t="s">
        <v>71</v>
      </c>
      <c r="E89" s="25" t="str">
        <f>IFERROR(IF(INDEX(Mapping!$A$2:$A$181,MATCH($A89,Mapping!$F$2:$F$181,0)) = 0, "", INDEX(Mapping!$A$2:$A$181,MATCH($A89,Mapping!$F$2:$F$181,0))), "")</f>
        <v/>
      </c>
      <c r="F89" s="25"/>
      <c r="G89" s="25"/>
      <c r="H89" s="25" t="str">
        <f>IFERROR(IF(INDEX(Mapping!$L$2:$L$181,MATCH($A89,Mapping!$F$2:$F$181,0)) = 0, "", INDEX(Mapping!$L$2:$L$181,MATCH($A89,Mapping!$F$2:$F$181,0))), "")</f>
        <v/>
      </c>
    </row>
    <row r="90" spans="1:8" ht="15.75" thickBot="1" x14ac:dyDescent="0.3">
      <c r="A90" s="8" t="s">
        <v>72</v>
      </c>
      <c r="B90" s="9" t="s">
        <v>73</v>
      </c>
      <c r="C90" s="9" t="s">
        <v>68</v>
      </c>
      <c r="D90" s="9" t="s">
        <v>74</v>
      </c>
      <c r="E90" s="25" t="str">
        <f>IFERROR(IF(INDEX(Mapping!$A$2:$A$181,MATCH($A90,Mapping!$F$2:$F$181,0)) = 0, "", INDEX(Mapping!$A$2:$A$181,MATCH($A90,Mapping!$F$2:$F$181,0))), "")</f>
        <v/>
      </c>
      <c r="F90" s="25"/>
      <c r="G90" s="25"/>
      <c r="H90" s="25" t="str">
        <f>IFERROR(IF(INDEX(Mapping!$L$2:$L$181,MATCH($A90,Mapping!$F$2:$F$181,0)) = 0, "", INDEX(Mapping!$L$2:$L$181,MATCH($A90,Mapping!$F$2:$F$181,0))), "")</f>
        <v/>
      </c>
    </row>
    <row r="91" spans="1:8" ht="15.75" thickBot="1" x14ac:dyDescent="0.3">
      <c r="A91" s="8" t="s">
        <v>75</v>
      </c>
      <c r="B91" s="9" t="s">
        <v>76</v>
      </c>
      <c r="C91" s="9" t="s">
        <v>68</v>
      </c>
      <c r="D91" s="9" t="s">
        <v>77</v>
      </c>
      <c r="E91" s="25" t="str">
        <f>IFERROR(IF(INDEX(Mapping!$A$2:$A$181,MATCH($A91,Mapping!$F$2:$F$181,0)) = 0, "", INDEX(Mapping!$A$2:$A$181,MATCH($A91,Mapping!$F$2:$F$181,0))), "")</f>
        <v/>
      </c>
      <c r="F91" s="25"/>
      <c r="G91" s="25"/>
      <c r="H91" s="25" t="str">
        <f>IFERROR(IF(INDEX(Mapping!$L$2:$L$181,MATCH($A91,Mapping!$F$2:$F$181,0)) = 0, "", INDEX(Mapping!$L$2:$L$181,MATCH($A91,Mapping!$F$2:$F$181,0))), "")</f>
        <v/>
      </c>
    </row>
    <row r="92" spans="1:8" ht="15.75" thickBot="1" x14ac:dyDescent="0.3">
      <c r="A92" s="8" t="s">
        <v>78</v>
      </c>
      <c r="B92" s="9" t="s">
        <v>73</v>
      </c>
      <c r="C92" s="9" t="s">
        <v>68</v>
      </c>
      <c r="D92" s="9" t="s">
        <v>74</v>
      </c>
      <c r="E92" s="25" t="str">
        <f>IFERROR(IF(INDEX(Mapping!$A$2:$A$181,MATCH($A92,Mapping!$F$2:$F$181,0)) = 0, "", INDEX(Mapping!$A$2:$A$181,MATCH($A92,Mapping!$F$2:$F$181,0))), "")</f>
        <v/>
      </c>
      <c r="F92" s="25"/>
      <c r="G92" s="25"/>
      <c r="H92" s="25" t="str">
        <f>IFERROR(IF(INDEX(Mapping!$L$2:$L$181,MATCH($A92,Mapping!$F$2:$F$181,0)) = 0, "", INDEX(Mapping!$L$2:$L$181,MATCH($A92,Mapping!$F$2:$F$181,0))), "")</f>
        <v/>
      </c>
    </row>
    <row r="93" spans="1:8" ht="15.75" thickBot="1" x14ac:dyDescent="0.3">
      <c r="A93" s="8" t="s">
        <v>153</v>
      </c>
      <c r="B93" s="9" t="s">
        <v>79</v>
      </c>
      <c r="C93" s="9" t="s">
        <v>68</v>
      </c>
      <c r="D93" s="9" t="s">
        <v>12</v>
      </c>
      <c r="E93" s="25" t="str">
        <f>IFERROR(IF(INDEX(Mapping!$A$2:$A$181,MATCH($A93,Mapping!$F$2:$F$181,0)) = 0, "", INDEX(Mapping!$A$2:$A$181,MATCH($A93,Mapping!$F$2:$F$181,0))), "")</f>
        <v>File/Lot</v>
      </c>
      <c r="F93" s="25"/>
      <c r="G93" s="25"/>
      <c r="H93" s="25" t="str">
        <f>IFERROR(IF(INDEX(Mapping!$L$2:$L$181,MATCH($A93,Mapping!$F$2:$F$181,0)) = 0, "", INDEX(Mapping!$L$2:$L$181,MATCH($A93,Mapping!$F$2:$F$181,0))), "")</f>
        <v/>
      </c>
    </row>
    <row r="94" spans="1:8" ht="15.75" thickBot="1" x14ac:dyDescent="0.3">
      <c r="A94" s="8" t="s">
        <v>80</v>
      </c>
      <c r="B94" s="9" t="s">
        <v>81</v>
      </c>
      <c r="C94" s="9" t="s">
        <v>68</v>
      </c>
      <c r="D94" s="9" t="s">
        <v>15</v>
      </c>
      <c r="E94" s="25" t="str">
        <f>IFERROR(IF(INDEX(Mapping!$A$2:$A$181,MATCH($A94,Mapping!$F$2:$F$181,0)) = 0, "", INDEX(Mapping!$A$2:$A$181,MATCH($A94,Mapping!$F$2:$F$181,0))), "")</f>
        <v>File/Lot</v>
      </c>
      <c r="F94" s="25"/>
      <c r="G94" s="25"/>
      <c r="H94" s="25" t="str">
        <f>IFERROR(IF(INDEX(Mapping!$L$2:$L$181,MATCH($A94,Mapping!$F$2:$F$181,0)) = 0, "", INDEX(Mapping!$L$2:$L$181,MATCH($A94,Mapping!$F$2:$F$181,0))), "")</f>
        <v/>
      </c>
    </row>
    <row r="95" spans="1:8" ht="15.75" thickBot="1" x14ac:dyDescent="0.3">
      <c r="A95" s="8" t="s">
        <v>82</v>
      </c>
      <c r="B95" s="9" t="s">
        <v>4</v>
      </c>
      <c r="C95" s="9" t="s">
        <v>68</v>
      </c>
      <c r="D95" s="9" t="s">
        <v>5</v>
      </c>
      <c r="E95" s="25" t="str">
        <f>IFERROR(IF(INDEX(Mapping!$A$2:$A$181,MATCH($A95,Mapping!$F$2:$F$181,0)) = 0, "", INDEX(Mapping!$A$2:$A$181,MATCH($A95,Mapping!$F$2:$F$181,0))), "")</f>
        <v>LotG/SourceLot/Lot</v>
      </c>
      <c r="F95" s="25"/>
      <c r="G95" s="25"/>
      <c r="H95" s="25" t="str">
        <f>IFERROR(IF(INDEX(Mapping!$L$2:$L$181,MATCH($A95,Mapping!$F$2:$F$181,0)) = 0, "", INDEX(Mapping!$L$2:$L$181,MATCH($A95,Mapping!$F$2:$F$181,0))), "")</f>
        <v/>
      </c>
    </row>
    <row r="96" spans="1:8" ht="15.75" thickBot="1" x14ac:dyDescent="0.3">
      <c r="A96" s="8" t="s">
        <v>83</v>
      </c>
      <c r="B96" s="9" t="s">
        <v>83</v>
      </c>
      <c r="C96" s="9" t="s">
        <v>68</v>
      </c>
      <c r="D96" s="9" t="s">
        <v>84</v>
      </c>
      <c r="E96" s="25" t="str">
        <f>IFERROR(IF(INDEX(Mapping!$A$2:$A$181,MATCH($A96,Mapping!$F$2:$F$181,0)) = 0, "", INDEX(Mapping!$A$2:$A$181,MATCH($A96,Mapping!$F$2:$F$181,0))), "")</f>
        <v>File/Lot</v>
      </c>
      <c r="F96" s="25"/>
      <c r="G96" s="25"/>
      <c r="H96" s="25" t="str">
        <f>IFERROR(IF(INDEX(Mapping!$L$2:$L$181,MATCH($A96,Mapping!$F$2:$F$181,0)) = 0, "", INDEX(Mapping!$L$2:$L$181,MATCH($A96,Mapping!$F$2:$F$181,0))), "")</f>
        <v>If not ends ".S", ".S" is being added behind the "."</v>
      </c>
    </row>
    <row r="97" spans="1:8" ht="15.75" thickBot="1" x14ac:dyDescent="0.3">
      <c r="A97" s="8" t="s">
        <v>94</v>
      </c>
      <c r="B97" s="9" t="s">
        <v>85</v>
      </c>
      <c r="C97" s="9" t="s">
        <v>68</v>
      </c>
      <c r="D97" s="9" t="s">
        <v>86</v>
      </c>
      <c r="E97" s="25" t="str">
        <f>IFERROR(IF(INDEX(Mapping!$A$2:$A$181,MATCH($A97,Mapping!$F$2:$F$181,0)) = 0, "", INDEX(Mapping!$A$2:$A$181,MATCH($A97,Mapping!$F$2:$F$181,0))), "")</f>
        <v>LotG/SourceLot/Lot</v>
      </c>
      <c r="F97" s="25"/>
      <c r="G97" s="25"/>
      <c r="H97" s="25" t="str">
        <f>IFERROR(IF(INDEX(Mapping!$L$2:$L$181,MATCH($A97,Mapping!$F$2:$F$181,0)) = 0, "", INDEX(Mapping!$L$2:$L$181,MATCH($A97,Mapping!$F$2:$F$181,0))), "")</f>
        <v>LotG or LTM; Type of lot Engineering/Production,…</v>
      </c>
    </row>
    <row r="98" spans="1:8" ht="15.75" thickBot="1" x14ac:dyDescent="0.3">
      <c r="A98" s="8" t="s">
        <v>87</v>
      </c>
      <c r="B98" s="9" t="s">
        <v>88</v>
      </c>
      <c r="C98" s="9" t="s">
        <v>68</v>
      </c>
      <c r="D98" s="9" t="s">
        <v>89</v>
      </c>
      <c r="E98" s="25" t="str">
        <f>IFERROR(IF(INDEX(Mapping!$A$2:$A$181,MATCH($A98,Mapping!$F$2:$F$181,0)) = 0, "", INDEX(Mapping!$A$2:$A$181,MATCH($A98,Mapping!$F$2:$F$181,0))), "")</f>
        <v/>
      </c>
      <c r="F98" s="25"/>
      <c r="G98" s="25"/>
      <c r="H98" s="25" t="str">
        <f>IFERROR(IF(INDEX(Mapping!$L$2:$L$181,MATCH($A98,Mapping!$F$2:$F$181,0)) = 0, "", INDEX(Mapping!$L$2:$L$181,MATCH($A98,Mapping!$F$2:$F$181,0))), "")</f>
        <v/>
      </c>
    </row>
    <row r="99" spans="1:8" ht="15.75" thickBot="1" x14ac:dyDescent="0.3">
      <c r="A99" s="8" t="s">
        <v>90</v>
      </c>
      <c r="B99" s="9" t="s">
        <v>88</v>
      </c>
      <c r="C99" s="9" t="s">
        <v>68</v>
      </c>
      <c r="D99" s="9" t="s">
        <v>89</v>
      </c>
      <c r="E99" s="25" t="str">
        <f>IFERROR(IF(INDEX(Mapping!$A$2:$A$181,MATCH($A99,Mapping!$F$2:$F$181,0)) = 0, "", INDEX(Mapping!$A$2:$A$181,MATCH($A99,Mapping!$F$2:$F$181,0))), "")</f>
        <v/>
      </c>
      <c r="F99" s="25"/>
      <c r="G99" s="25"/>
      <c r="H99" s="25" t="str">
        <f>IFERROR(IF(INDEX(Mapping!$L$2:$L$181,MATCH($A99,Mapping!$F$2:$F$181,0)) = 0, "", INDEX(Mapping!$L$2:$L$181,MATCH($A99,Mapping!$F$2:$F$181,0))), "")</f>
        <v/>
      </c>
    </row>
    <row r="100" spans="1:8" ht="15.75" thickBot="1" x14ac:dyDescent="0.3">
      <c r="A100" s="8" t="s">
        <v>91</v>
      </c>
      <c r="B100" s="9" t="s">
        <v>92</v>
      </c>
      <c r="C100" s="9" t="s">
        <v>68</v>
      </c>
      <c r="D100" s="9" t="s">
        <v>93</v>
      </c>
      <c r="E100" s="25" t="str">
        <f>IFERROR(IF(INDEX(Mapping!$A$2:$A$181,MATCH($A100,Mapping!$F$2:$F$181,0)) = 0, "", INDEX(Mapping!$A$2:$A$181,MATCH($A100,Mapping!$F$2:$F$181,0))), "")</f>
        <v>File/Lot/Wafer</v>
      </c>
      <c r="F100" s="25"/>
      <c r="G100" s="25"/>
      <c r="H100" s="25" t="str">
        <f>IFERROR(IF(INDEX(Mapping!$L$2:$L$181,MATCH($A100,Mapping!$F$2:$F$181,0)) = 0, "", INDEX(Mapping!$L$2:$L$181,MATCH($A100,Mapping!$F$2:$F$181,0))), "")</f>
        <v/>
      </c>
    </row>
    <row r="101" spans="1:8" ht="15.75" thickBot="1" x14ac:dyDescent="0.3">
      <c r="A101" s="8" t="s">
        <v>94</v>
      </c>
      <c r="B101" s="9" t="s">
        <v>94</v>
      </c>
      <c r="C101" s="9" t="s">
        <v>68</v>
      </c>
      <c r="D101" s="9" t="s">
        <v>86</v>
      </c>
      <c r="E101" s="25" t="str">
        <f>IFERROR(IF(INDEX(Mapping!$A$2:$A$181,MATCH($A101,Mapping!$F$2:$F$181,0)) = 0, "", INDEX(Mapping!$A$2:$A$181,MATCH($A101,Mapping!$F$2:$F$181,0))), "")</f>
        <v>LotG/SourceLot/Lot</v>
      </c>
      <c r="F101" s="25"/>
      <c r="G101" s="25"/>
      <c r="H101" s="25" t="str">
        <f>IFERROR(IF(INDEX(Mapping!$L$2:$L$181,MATCH($A101,Mapping!$F$2:$F$181,0)) = 0, "", INDEX(Mapping!$L$2:$L$181,MATCH($A101,Mapping!$F$2:$F$181,0))), "")</f>
        <v>LotG or LTM; Type of lot Engineering/Production,…</v>
      </c>
    </row>
    <row r="102" spans="1:8" ht="15.75" thickBot="1" x14ac:dyDescent="0.3">
      <c r="A102" s="8" t="s">
        <v>95</v>
      </c>
      <c r="B102" s="9" t="s">
        <v>96</v>
      </c>
      <c r="C102" s="9" t="s">
        <v>68</v>
      </c>
      <c r="D102" s="9" t="s">
        <v>97</v>
      </c>
      <c r="E102" s="25" t="str">
        <f>IFERROR(IF(INDEX(Mapping!$A$2:$A$181,MATCH($A102,Mapping!$F$2:$F$181,0)) = 0, "", INDEX(Mapping!$A$2:$A$181,MATCH($A102,Mapping!$F$2:$F$181,0))), "")</f>
        <v/>
      </c>
      <c r="F102" s="25"/>
      <c r="G102" s="25"/>
      <c r="H102" s="25" t="str">
        <f>IFERROR(IF(INDEX(Mapping!$L$2:$L$181,MATCH($A102,Mapping!$F$2:$F$181,0)) = 0, "", INDEX(Mapping!$L$2:$L$181,MATCH($A102,Mapping!$F$2:$F$181,0))), "")</f>
        <v/>
      </c>
    </row>
    <row r="103" spans="1:8" ht="15.75" thickBot="1" x14ac:dyDescent="0.3">
      <c r="A103" s="27" t="s">
        <v>169</v>
      </c>
      <c r="B103" s="9" t="s">
        <v>98</v>
      </c>
      <c r="C103" s="9" t="s">
        <v>99</v>
      </c>
      <c r="D103" s="9" t="s">
        <v>100</v>
      </c>
      <c r="E103" s="25" t="str">
        <f>IFERROR(IF(INDEX(Mapping!$A$2:$A$181,MATCH($A103,Mapping!$F$2:$F$181,0)) = 0, "", INDEX(Mapping!$A$2:$A$181,MATCH($A103,Mapping!$F$2:$F$181,0))), "")</f>
        <v/>
      </c>
      <c r="F103" s="25"/>
      <c r="G103" s="25"/>
      <c r="H103" s="25" t="str">
        <f>IFERROR(IF(INDEX(Mapping!$L$2:$L$181,MATCH($A103,Mapping!$F$2:$F$181,0)) = 0, "", INDEX(Mapping!$L$2:$L$181,MATCH($A103,Mapping!$F$2:$F$181,0))), "")</f>
        <v/>
      </c>
    </row>
    <row r="104" spans="1:8" ht="15.75" thickBot="1" x14ac:dyDescent="0.3">
      <c r="A104" s="8" t="s">
        <v>101</v>
      </c>
      <c r="B104" s="9" t="s">
        <v>102</v>
      </c>
      <c r="C104" s="9" t="s">
        <v>99</v>
      </c>
      <c r="D104" s="9" t="s">
        <v>100</v>
      </c>
      <c r="E104" s="25" t="str">
        <f>IFERROR(IF(INDEX(Mapping!$A$2:$A$181,MATCH($A104,Mapping!$F$2:$F$181,0)) = 0, "", INDEX(Mapping!$A$2:$A$181,MATCH($A104,Mapping!$F$2:$F$181,0))), "")</f>
        <v>File/Lot</v>
      </c>
      <c r="F104" s="25"/>
      <c r="G104" s="25"/>
      <c r="H104" s="25" t="str">
        <f>IFERROR(IF(INDEX(Mapping!$L$2:$L$181,MATCH($A104,Mapping!$F$2:$F$181,0)) = 0, "", INDEX(Mapping!$L$2:$L$181,MATCH($A104,Mapping!$F$2:$F$181,0))), "")</f>
        <v/>
      </c>
    </row>
    <row r="105" spans="1:8" ht="15.75" thickBot="1" x14ac:dyDescent="0.3">
      <c r="A105" s="28" t="s">
        <v>172</v>
      </c>
      <c r="B105" s="9" t="s">
        <v>103</v>
      </c>
      <c r="C105" s="9" t="s">
        <v>99</v>
      </c>
      <c r="D105" s="9" t="s">
        <v>100</v>
      </c>
      <c r="E105" s="25" t="str">
        <f>IFERROR(IF(INDEX(Mapping!$A$2:$A$181,MATCH($A105,Mapping!$F$2:$F$181,0)) = 0, "", INDEX(Mapping!$A$2:$A$181,MATCH($A105,Mapping!$F$2:$F$181,0))), "")</f>
        <v/>
      </c>
      <c r="F105" s="25"/>
      <c r="G105" s="25"/>
      <c r="H105" s="25" t="str">
        <f>IFERROR(IF(INDEX(Mapping!$L$2:$L$181,MATCH($A105,Mapping!$F$2:$F$181,0)) = 0, "", INDEX(Mapping!$L$2:$L$181,MATCH($A105,Mapping!$F$2:$F$181,0))), "")</f>
        <v/>
      </c>
    </row>
    <row r="106" spans="1:8" ht="15.75" thickBot="1" x14ac:dyDescent="0.3">
      <c r="A106" s="8" t="s">
        <v>104</v>
      </c>
      <c r="B106" s="9" t="s">
        <v>105</v>
      </c>
      <c r="C106" s="9" t="s">
        <v>99</v>
      </c>
      <c r="D106" s="9" t="s">
        <v>100</v>
      </c>
      <c r="E106" s="25" t="str">
        <f>IFERROR(IF(INDEX(Mapping!$A$2:$A$181,MATCH($A106,Mapping!$F$2:$F$181,0)) = 0, "", INDEX(Mapping!$A$2:$A$181,MATCH($A106,Mapping!$F$2:$F$181,0))), "")</f>
        <v/>
      </c>
      <c r="F106" s="25"/>
      <c r="G106" s="25"/>
      <c r="H106" s="25" t="str">
        <f>IFERROR(IF(INDEX(Mapping!$L$2:$L$181,MATCH($A106,Mapping!$F$2:$F$181,0)) = 0, "", INDEX(Mapping!$L$2:$L$181,MATCH($A106,Mapping!$F$2:$F$181,0))), "")</f>
        <v/>
      </c>
    </row>
    <row r="107" spans="1:8" ht="15.75" thickBot="1" x14ac:dyDescent="0.3">
      <c r="A107" s="8" t="s">
        <v>106</v>
      </c>
      <c r="B107" s="9" t="s">
        <v>107</v>
      </c>
      <c r="C107" s="9" t="s">
        <v>99</v>
      </c>
      <c r="D107" s="9" t="s">
        <v>100</v>
      </c>
      <c r="E107" s="25" t="str">
        <f>IFERROR(IF(INDEX(Mapping!$A$2:$A$181,MATCH($A107,Mapping!$F$2:$F$181,0)) = 0, "", INDEX(Mapping!$A$2:$A$181,MATCH($A107,Mapping!$F$2:$F$181,0))), "")</f>
        <v/>
      </c>
      <c r="F107" s="25"/>
      <c r="G107" s="25"/>
      <c r="H107" s="25" t="str">
        <f>IFERROR(IF(INDEX(Mapping!$L$2:$L$181,MATCH($A107,Mapping!$F$2:$F$181,0)) = 0, "", INDEX(Mapping!$L$2:$L$181,MATCH($A107,Mapping!$F$2:$F$181,0))), "")</f>
        <v/>
      </c>
    </row>
    <row r="108" spans="1:8" ht="15.75" thickBot="1" x14ac:dyDescent="0.3">
      <c r="A108" s="8" t="s">
        <v>108</v>
      </c>
      <c r="B108" s="9" t="s">
        <v>105</v>
      </c>
      <c r="C108" s="9" t="s">
        <v>99</v>
      </c>
      <c r="D108" s="9" t="s">
        <v>100</v>
      </c>
      <c r="E108" s="25" t="str">
        <f>IFERROR(IF(INDEX(Mapping!$A$2:$A$181,MATCH($A108,Mapping!$F$2:$F$181,0)) = 0, "", INDEX(Mapping!$A$2:$A$181,MATCH($A108,Mapping!$F$2:$F$181,0))), "")</f>
        <v/>
      </c>
      <c r="F108" s="25"/>
      <c r="G108" s="25"/>
      <c r="H108" s="25" t="str">
        <f>IFERROR(IF(INDEX(Mapping!$L$2:$L$181,MATCH($A108,Mapping!$F$2:$F$181,0)) = 0, "", INDEX(Mapping!$L$2:$L$181,MATCH($A108,Mapping!$F$2:$F$181,0))), "")</f>
        <v/>
      </c>
    </row>
    <row r="109" spans="1:8" ht="15.75" thickBot="1" x14ac:dyDescent="0.3">
      <c r="A109" s="27" t="s">
        <v>173</v>
      </c>
      <c r="B109" s="9" t="s">
        <v>109</v>
      </c>
      <c r="C109" s="9" t="s">
        <v>99</v>
      </c>
      <c r="D109" s="9" t="s">
        <v>100</v>
      </c>
      <c r="E109" s="25" t="str">
        <f>IFERROR(IF(INDEX(Mapping!$A$2:$A$181,MATCH($A109,Mapping!$F$2:$F$181,0)) = 0, "", INDEX(Mapping!$A$2:$A$181,MATCH($A109,Mapping!$F$2:$F$181,0))), "")</f>
        <v/>
      </c>
      <c r="F109" s="25"/>
      <c r="G109" s="25"/>
      <c r="H109" s="25" t="str">
        <f>IFERROR(IF(INDEX(Mapping!$L$2:$L$181,MATCH($A109,Mapping!$F$2:$F$181,0)) = 0, "", INDEX(Mapping!$L$2:$L$181,MATCH($A109,Mapping!$F$2:$F$181,0))), "")</f>
        <v/>
      </c>
    </row>
    <row r="110" spans="1:8" ht="15.75" thickBot="1" x14ac:dyDescent="0.3">
      <c r="A110" s="8" t="s">
        <v>110</v>
      </c>
      <c r="B110" s="9" t="s">
        <v>111</v>
      </c>
      <c r="C110" s="9" t="s">
        <v>99</v>
      </c>
      <c r="D110" s="9" t="s">
        <v>100</v>
      </c>
      <c r="E110" s="25" t="str">
        <f>IFERROR(IF(INDEX(Mapping!$A$2:$A$181,MATCH($A110,Mapping!$F$2:$F$181,0)) = 0, "", INDEX(Mapping!$A$2:$A$181,MATCH($A110,Mapping!$F$2:$F$181,0))), "")</f>
        <v/>
      </c>
      <c r="F110" s="25"/>
      <c r="G110" s="25"/>
      <c r="H110" s="25" t="str">
        <f>IFERROR(IF(INDEX(Mapping!$L$2:$L$181,MATCH($A110,Mapping!$F$2:$F$181,0)) = 0, "", INDEX(Mapping!$L$2:$L$181,MATCH($A110,Mapping!$F$2:$F$181,0))), "")</f>
        <v/>
      </c>
    </row>
    <row r="111" spans="1:8" ht="15.75" thickBot="1" x14ac:dyDescent="0.3">
      <c r="A111" s="8" t="s">
        <v>175</v>
      </c>
      <c r="B111" s="9" t="s">
        <v>112</v>
      </c>
      <c r="C111" s="9" t="s">
        <v>99</v>
      </c>
      <c r="D111" s="9" t="s">
        <v>100</v>
      </c>
      <c r="E111" s="25" t="str">
        <f>IFERROR(IF(INDEX(Mapping!$A$2:$A$181,MATCH($A111,Mapping!$F$2:$F$181,0)) = 0, "", INDEX(Mapping!$A$2:$A$181,MATCH($A111,Mapping!$F$2:$F$181,0))), "")</f>
        <v/>
      </c>
      <c r="F111" s="25"/>
      <c r="G111" s="25"/>
      <c r="H111" s="25" t="str">
        <f>IFERROR(IF(INDEX(Mapping!$L$2:$L$181,MATCH($A111,Mapping!$F$2:$F$181,0)) = 0, "", INDEX(Mapping!$L$2:$L$181,MATCH($A111,Mapping!$F$2:$F$181,0))), "")</f>
        <v/>
      </c>
    </row>
    <row r="112" spans="1:8" ht="15.75" thickBot="1" x14ac:dyDescent="0.3">
      <c r="A112" s="8" t="s">
        <v>167</v>
      </c>
      <c r="B112" s="9" t="s">
        <v>113</v>
      </c>
      <c r="C112" s="9" t="s">
        <v>99</v>
      </c>
      <c r="D112" s="9" t="s">
        <v>100</v>
      </c>
      <c r="E112" s="25" t="str">
        <f>IFERROR(IF(INDEX(Mapping!$A$2:$A$181,MATCH($A112,Mapping!$F$2:$F$181,0)) = 0, "", INDEX(Mapping!$A$2:$A$181,MATCH($A112,Mapping!$F$2:$F$181,0))), "")</f>
        <v/>
      </c>
      <c r="F112" s="25"/>
      <c r="G112" s="25"/>
      <c r="H112" s="25" t="str">
        <f>IFERROR(IF(INDEX(Mapping!$L$2:$L$181,MATCH($A112,Mapping!$F$2:$F$181,0)) = 0, "", INDEX(Mapping!$L$2:$L$181,MATCH($A112,Mapping!$F$2:$F$181,0))), "")</f>
        <v/>
      </c>
    </row>
    <row r="113" spans="1:8" ht="15.75" thickBot="1" x14ac:dyDescent="0.3">
      <c r="A113" s="8" t="s">
        <v>156</v>
      </c>
      <c r="B113" s="9" t="s">
        <v>114</v>
      </c>
      <c r="C113" s="9" t="s">
        <v>99</v>
      </c>
      <c r="D113" s="9" t="s">
        <v>100</v>
      </c>
      <c r="E113" s="25" t="str">
        <f>IFERROR(IF(INDEX(Mapping!$A$2:$A$181,MATCH($A113,Mapping!$F$2:$F$181,0)) = 0, "", INDEX(Mapping!$A$2:$A$181,MATCH($A113,Mapping!$F$2:$F$181,0))), "")</f>
        <v>File/Lot</v>
      </c>
      <c r="F113" s="25"/>
      <c r="G113" s="25"/>
      <c r="H113" s="25" t="str">
        <f>IFERROR(IF(INDEX(Mapping!$L$2:$L$181,MATCH($A113,Mapping!$F$2:$F$181,0)) = 0, "", INDEX(Mapping!$L$2:$L$181,MATCH($A113,Mapping!$F$2:$F$181,0))), "")</f>
        <v/>
      </c>
    </row>
    <row r="114" spans="1:8" ht="15.75" thickBot="1" x14ac:dyDescent="0.3">
      <c r="A114" s="8" t="s">
        <v>168</v>
      </c>
      <c r="B114" s="9" t="s">
        <v>115</v>
      </c>
      <c r="C114" s="9" t="s">
        <v>99</v>
      </c>
      <c r="D114" s="29" t="s">
        <v>100</v>
      </c>
      <c r="E114" s="25" t="str">
        <f>IFERROR(IF(INDEX(Mapping!$A$2:$A$181,MATCH($A114,Mapping!$F$2:$F$181,0)) = 0, "", INDEX(Mapping!$A$2:$A$181,MATCH($A114,Mapping!$F$2:$F$181,0))), "")</f>
        <v/>
      </c>
      <c r="F114" s="25"/>
      <c r="G114" s="25"/>
      <c r="H114" s="25" t="str">
        <f>IFERROR(IF(INDEX(Mapping!$L$2:$L$181,MATCH($A114,Mapping!$F$2:$F$181,0)) = 0, "", INDEX(Mapping!$L$2:$L$181,MATCH($A114,Mapping!$F$2:$F$181,0))), "")</f>
        <v/>
      </c>
    </row>
    <row r="115" spans="1:8" ht="15.75" thickBot="1" x14ac:dyDescent="0.3">
      <c r="A115" s="8" t="s">
        <v>52</v>
      </c>
      <c r="B115" s="9" t="s">
        <v>53</v>
      </c>
      <c r="C115" s="9" t="s">
        <v>116</v>
      </c>
      <c r="D115" s="9" t="s">
        <v>117</v>
      </c>
      <c r="E115" s="25" t="str">
        <f>IFERROR(IF(INDEX(Mapping!$A$2:$A$181,MATCH($A115,Mapping!$F$2:$F$181,0)) = 0, "", INDEX(Mapping!$A$2:$A$181,MATCH($A115,Mapping!$F$2:$F$181,0))), "")</f>
        <v/>
      </c>
      <c r="F115" s="25"/>
      <c r="G115" s="25"/>
      <c r="H115" s="25" t="str">
        <f>IFERROR(IF(INDEX(Mapping!$L$2:$L$181,MATCH($A115,Mapping!$F$2:$F$181,0)) = 0, "", INDEX(Mapping!$L$2:$L$181,MATCH($A115,Mapping!$F$2:$F$181,0))), "")</f>
        <v>Constant: "Probe"</v>
      </c>
    </row>
    <row r="116" spans="1:8" ht="15.75" thickBot="1" x14ac:dyDescent="0.3">
      <c r="A116" s="8" t="s">
        <v>143</v>
      </c>
      <c r="B116" s="9" t="s">
        <v>54</v>
      </c>
      <c r="C116" s="9" t="s">
        <v>116</v>
      </c>
      <c r="D116" s="9" t="s">
        <v>117</v>
      </c>
      <c r="E116" s="25" t="str">
        <f>IFERROR(IF(INDEX(Mapping!$A$2:$A$181,MATCH($A116,Mapping!$F$2:$F$181,0)) = 0, "", INDEX(Mapping!$A$2:$A$181,MATCH($A116,Mapping!$F$2:$F$181,0))), "")</f>
        <v/>
      </c>
      <c r="F116" s="25"/>
      <c r="G116" s="25"/>
      <c r="H116" s="25" t="str">
        <f>IFERROR(IF(INDEX(Mapping!$L$2:$L$181,MATCH($A116,Mapping!$F$2:$F$181,0)) = 0, "", INDEX(Mapping!$L$2:$L$181,MATCH($A116,Mapping!$F$2:$F$181,0))), "")</f>
        <v/>
      </c>
    </row>
    <row r="117" spans="1:8" ht="15.75" thickBot="1" x14ac:dyDescent="0.3">
      <c r="A117" s="8" t="s">
        <v>159</v>
      </c>
      <c r="B117" s="9" t="s">
        <v>118</v>
      </c>
      <c r="C117" s="9" t="s">
        <v>116</v>
      </c>
      <c r="D117" s="9" t="s">
        <v>117</v>
      </c>
      <c r="E117" s="25" t="str">
        <f>IFERROR(IF(INDEX(Mapping!$A$2:$A$181,MATCH($A117,Mapping!$F$2:$F$181,0)) = 0, "", INDEX(Mapping!$A$2:$A$181,MATCH($A117,Mapping!$F$2:$F$181,0))), "")</f>
        <v/>
      </c>
      <c r="F117" s="25"/>
      <c r="G117" s="25"/>
      <c r="H117" s="25" t="str">
        <f>IFERROR(IF(INDEX(Mapping!$L$2:$L$181,MATCH($A117,Mapping!$F$2:$F$181,0)) = 0, "", INDEX(Mapping!$L$2:$L$181,MATCH($A117,Mapping!$F$2:$F$181,0))), "")</f>
        <v/>
      </c>
    </row>
    <row r="118" spans="1:8" ht="15.75" thickBot="1" x14ac:dyDescent="0.3">
      <c r="A118" s="8" t="s">
        <v>177</v>
      </c>
      <c r="B118" s="9" t="s">
        <v>119</v>
      </c>
      <c r="C118" s="9" t="s">
        <v>116</v>
      </c>
      <c r="D118" s="9" t="s">
        <v>117</v>
      </c>
      <c r="E118" s="25" t="str">
        <f>IFERROR(IF(INDEX(Mapping!$A$2:$A$181,MATCH($A118,Mapping!$F$2:$F$181,0)) = 0, "", INDEX(Mapping!$A$2:$A$181,MATCH($A118,Mapping!$F$2:$F$181,0))), "")</f>
        <v/>
      </c>
      <c r="F118" s="25"/>
      <c r="G118" s="25"/>
      <c r="H118" s="25" t="str">
        <f>IFERROR(IF(INDEX(Mapping!$L$2:$L$181,MATCH($A118,Mapping!$F$2:$F$181,0)) = 0, "", INDEX(Mapping!$L$2:$L$181,MATCH($A118,Mapping!$F$2:$F$181,0))), "")</f>
        <v/>
      </c>
    </row>
    <row r="119" spans="1:8" ht="15.75" thickBot="1" x14ac:dyDescent="0.3">
      <c r="A119" s="8" t="s">
        <v>142</v>
      </c>
      <c r="B119" s="9" t="s">
        <v>51</v>
      </c>
      <c r="C119" s="9" t="s">
        <v>116</v>
      </c>
      <c r="D119" s="9" t="s">
        <v>117</v>
      </c>
      <c r="E119" s="25" t="str">
        <f>IFERROR(IF(INDEX(Mapping!$A$2:$A$181,MATCH($A119,Mapping!$F$2:$F$181,0)) = 0, "", INDEX(Mapping!$A$2:$A$181,MATCH($A119,Mapping!$F$2:$F$181,0))), "")</f>
        <v/>
      </c>
      <c r="F119" s="25"/>
      <c r="G119" s="25"/>
      <c r="H119" s="25" t="str">
        <f>IFERROR(IF(INDEX(Mapping!$L$2:$L$181,MATCH($A119,Mapping!$F$2:$F$181,0)) = 0, "", INDEX(Mapping!$L$2:$L$181,MATCH($A119,Mapping!$F$2:$F$181,0))), "")</f>
        <v/>
      </c>
    </row>
    <row r="120" spans="1:8" ht="15.75" thickBot="1" x14ac:dyDescent="0.3">
      <c r="A120" s="8" t="s">
        <v>178</v>
      </c>
      <c r="B120" s="9" t="s">
        <v>120</v>
      </c>
      <c r="C120" s="9" t="s">
        <v>116</v>
      </c>
      <c r="D120" s="9" t="s">
        <v>117</v>
      </c>
      <c r="E120" s="25" t="str">
        <f>IFERROR(IF(INDEX(Mapping!$A$2:$A$181,MATCH($A120,Mapping!$F$2:$F$181,0)) = 0, "", INDEX(Mapping!$A$2:$A$181,MATCH($A120,Mapping!$F$2:$F$181,0))), "")</f>
        <v/>
      </c>
      <c r="F120" s="25"/>
      <c r="G120" s="25"/>
      <c r="H120" s="25" t="str">
        <f>IFERROR(IF(INDEX(Mapping!$L$2:$L$181,MATCH($A120,Mapping!$F$2:$F$181,0)) = 0, "", INDEX(Mapping!$L$2:$L$181,MATCH($A120,Mapping!$F$2:$F$181,0))), "")</f>
        <v/>
      </c>
    </row>
    <row r="121" spans="1:8" ht="15.75" thickBot="1" x14ac:dyDescent="0.3">
      <c r="A121" s="8" t="s">
        <v>121</v>
      </c>
      <c r="B121" s="9" t="s">
        <v>122</v>
      </c>
      <c r="C121" s="9" t="s">
        <v>116</v>
      </c>
      <c r="D121" s="9" t="s">
        <v>117</v>
      </c>
      <c r="E121" s="25" t="str">
        <f>IFERROR(IF(INDEX(Mapping!$A$2:$A$181,MATCH($A121,Mapping!$F$2:$F$181,0)) = 0, "", INDEX(Mapping!$A$2:$A$181,MATCH($A121,Mapping!$F$2:$F$181,0))), "")</f>
        <v/>
      </c>
      <c r="F121" s="25"/>
      <c r="G121" s="25"/>
      <c r="H121" s="25" t="str">
        <f>IFERROR(IF(INDEX(Mapping!$L$2:$L$181,MATCH($A121,Mapping!$F$2:$F$181,0)) = 0, "", INDEX(Mapping!$L$2:$L$181,MATCH($A121,Mapping!$F$2:$F$181,0))), "")</f>
        <v/>
      </c>
    </row>
    <row r="122" spans="1:8" ht="15.75" thickBot="1" x14ac:dyDescent="0.3">
      <c r="A122" s="8" t="s">
        <v>144</v>
      </c>
      <c r="B122" s="9" t="s">
        <v>58</v>
      </c>
      <c r="C122" s="9" t="s">
        <v>116</v>
      </c>
      <c r="D122" s="9" t="s">
        <v>117</v>
      </c>
      <c r="E122" s="25" t="str">
        <f>IFERROR(IF(INDEX(Mapping!$A$2:$A$181,MATCH($A122,Mapping!$F$2:$F$181,0)) = 0, "", INDEX(Mapping!$A$2:$A$181,MATCH($A122,Mapping!$F$2:$F$181,0))), "")</f>
        <v/>
      </c>
      <c r="F122" s="25"/>
      <c r="G122" s="25"/>
      <c r="H122" s="25" t="str">
        <f>IFERROR(IF(INDEX(Mapping!$L$2:$L$181,MATCH($A122,Mapping!$F$2:$F$181,0)) = 0, "", INDEX(Mapping!$L$2:$L$181,MATCH($A122,Mapping!$F$2:$F$181,0))), "")</f>
        <v/>
      </c>
    </row>
    <row r="123" spans="1:8" ht="15.75" thickBot="1" x14ac:dyDescent="0.3">
      <c r="A123" s="8" t="s">
        <v>145</v>
      </c>
      <c r="B123" s="9" t="s">
        <v>59</v>
      </c>
      <c r="C123" s="9" t="s">
        <v>116</v>
      </c>
      <c r="D123" s="9" t="s">
        <v>117</v>
      </c>
      <c r="E123" s="25" t="str">
        <f>IFERROR(IF(INDEX(Mapping!$A$2:$A$181,MATCH($A123,Mapping!$F$2:$F$181,0)) = 0, "", INDEX(Mapping!$A$2:$A$181,MATCH($A123,Mapping!$F$2:$F$181,0))), "")</f>
        <v/>
      </c>
      <c r="F123" s="25"/>
      <c r="G123" s="25"/>
      <c r="H123" s="25" t="str">
        <f>IFERROR(IF(INDEX(Mapping!$L$2:$L$181,MATCH($A123,Mapping!$F$2:$F$181,0)) = 0, "", INDEX(Mapping!$L$2:$L$181,MATCH($A123,Mapping!$F$2:$F$181,0))), "")</f>
        <v/>
      </c>
    </row>
    <row r="124" spans="1:8" ht="15.75" thickBot="1" x14ac:dyDescent="0.3">
      <c r="A124" s="8" t="s">
        <v>179</v>
      </c>
      <c r="B124" s="9" t="s">
        <v>123</v>
      </c>
      <c r="C124" s="9" t="s">
        <v>116</v>
      </c>
      <c r="D124" s="9" t="s">
        <v>117</v>
      </c>
      <c r="E124" s="25" t="str">
        <f>IFERROR(IF(INDEX(Mapping!$A$2:$A$181,MATCH($A124,Mapping!$F$2:$F$181,0)) = 0, "", INDEX(Mapping!$A$2:$A$181,MATCH($A124,Mapping!$F$2:$F$181,0))), "")</f>
        <v/>
      </c>
      <c r="F124" s="25"/>
      <c r="G124" s="25"/>
      <c r="H124" s="25" t="str">
        <f>IFERROR(IF(INDEX(Mapping!$L$2:$L$181,MATCH($A124,Mapping!$F$2:$F$181,0)) = 0, "", INDEX(Mapping!$L$2:$L$181,MATCH($A124,Mapping!$F$2:$F$181,0))), "")</f>
        <v/>
      </c>
    </row>
    <row r="125" spans="1:8" ht="15.75" thickBot="1" x14ac:dyDescent="0.3">
      <c r="A125" s="8" t="s">
        <v>180</v>
      </c>
      <c r="B125" s="9" t="s">
        <v>124</v>
      </c>
      <c r="C125" s="9" t="s">
        <v>116</v>
      </c>
      <c r="D125" s="9" t="s">
        <v>117</v>
      </c>
      <c r="E125" s="25" t="str">
        <f>IFERROR(IF(INDEX(Mapping!$A$2:$A$181,MATCH($A125,Mapping!$F$2:$F$181,0)) = 0, "", INDEX(Mapping!$A$2:$A$181,MATCH($A125,Mapping!$F$2:$F$181,0))), "")</f>
        <v/>
      </c>
      <c r="F125" s="25"/>
      <c r="G125" s="25"/>
      <c r="H125" s="25" t="str">
        <f>IFERROR(IF(INDEX(Mapping!$L$2:$L$181,MATCH($A125,Mapping!$F$2:$F$181,0)) = 0, "", INDEX(Mapping!$L$2:$L$181,MATCH($A125,Mapping!$F$2:$F$181,0))), "")</f>
        <v/>
      </c>
    </row>
    <row r="126" spans="1:8" ht="15.75" thickBot="1" x14ac:dyDescent="0.3">
      <c r="A126" s="8" t="s">
        <v>181</v>
      </c>
      <c r="B126" s="9" t="s">
        <v>125</v>
      </c>
      <c r="C126" s="9" t="s">
        <v>116</v>
      </c>
      <c r="D126" s="9" t="s">
        <v>117</v>
      </c>
      <c r="E126" s="25" t="str">
        <f>IFERROR(IF(INDEX(Mapping!$A$2:$A$181,MATCH($A126,Mapping!$F$2:$F$181,0)) = 0, "", INDEX(Mapping!$A$2:$A$181,MATCH($A126,Mapping!$F$2:$F$181,0))), "")</f>
        <v/>
      </c>
      <c r="F126" s="25"/>
      <c r="G126" s="25"/>
      <c r="H126" s="25" t="str">
        <f>IFERROR(IF(INDEX(Mapping!$L$2:$L$181,MATCH($A126,Mapping!$F$2:$F$181,0)) = 0, "", INDEX(Mapping!$L$2:$L$181,MATCH($A126,Mapping!$F$2:$F$181,0))), "")</f>
        <v/>
      </c>
    </row>
    <row r="127" spans="1:8" ht="15.75" thickBot="1" x14ac:dyDescent="0.3">
      <c r="A127" s="8" t="s">
        <v>182</v>
      </c>
      <c r="B127" s="9" t="s">
        <v>126</v>
      </c>
      <c r="C127" s="9" t="s">
        <v>116</v>
      </c>
      <c r="D127" s="9" t="s">
        <v>117</v>
      </c>
      <c r="E127" s="25" t="str">
        <f>IFERROR(IF(INDEX(Mapping!$A$2:$A$181,MATCH($A127,Mapping!$F$2:$F$181,0)) = 0, "", INDEX(Mapping!$A$2:$A$181,MATCH($A127,Mapping!$F$2:$F$181,0))), "")</f>
        <v/>
      </c>
      <c r="F127" s="25"/>
      <c r="G127" s="25"/>
      <c r="H127" s="25" t="str">
        <f>IFERROR(IF(INDEX(Mapping!$L$2:$L$181,MATCH($A127,Mapping!$F$2:$F$181,0)) = 0, "", INDEX(Mapping!$L$2:$L$181,MATCH($A127,Mapping!$F$2:$F$181,0))), "")</f>
        <v/>
      </c>
    </row>
    <row r="128" spans="1:8" ht="15.75" thickBot="1" x14ac:dyDescent="0.3">
      <c r="A128" s="8" t="s">
        <v>183</v>
      </c>
      <c r="B128" s="9" t="s">
        <v>127</v>
      </c>
      <c r="C128" s="9" t="s">
        <v>116</v>
      </c>
      <c r="D128" s="9" t="s">
        <v>117</v>
      </c>
      <c r="E128" s="25" t="str">
        <f>IFERROR(IF(INDEX(Mapping!$A$2:$A$181,MATCH($A128,Mapping!$F$2:$F$181,0)) = 0, "", INDEX(Mapping!$A$2:$A$181,MATCH($A128,Mapping!$F$2:$F$181,0))), "")</f>
        <v/>
      </c>
      <c r="F128" s="25"/>
      <c r="G128" s="25"/>
      <c r="H128" s="25" t="str">
        <f>IFERROR(IF(INDEX(Mapping!$L$2:$L$181,MATCH($A128,Mapping!$F$2:$F$181,0)) = 0, "", INDEX(Mapping!$L$2:$L$181,MATCH($A128,Mapping!$F$2:$F$181,0))), "")</f>
        <v/>
      </c>
    </row>
    <row r="129" spans="1:8" ht="15.75" thickBot="1" x14ac:dyDescent="0.3">
      <c r="A129" s="8" t="s">
        <v>184</v>
      </c>
      <c r="B129" s="9" t="s">
        <v>128</v>
      </c>
      <c r="C129" s="9" t="s">
        <v>116</v>
      </c>
      <c r="D129" s="9" t="s">
        <v>117</v>
      </c>
      <c r="E129" s="25" t="str">
        <f>IFERROR(IF(INDEX(Mapping!$A$2:$A$181,MATCH($A129,Mapping!$F$2:$F$181,0)) = 0, "", INDEX(Mapping!$A$2:$A$181,MATCH($A129,Mapping!$F$2:$F$181,0))), "")</f>
        <v/>
      </c>
      <c r="F129" s="25"/>
      <c r="G129" s="25"/>
      <c r="H129" s="25" t="str">
        <f>IFERROR(IF(INDEX(Mapping!$L$2:$L$181,MATCH($A129,Mapping!$F$2:$F$181,0)) = 0, "", INDEX(Mapping!$L$2:$L$181,MATCH($A129,Mapping!$F$2:$F$181,0))), "")</f>
        <v/>
      </c>
    </row>
    <row r="130" spans="1:8" ht="15.75" thickBot="1" x14ac:dyDescent="0.3">
      <c r="A130" s="8" t="s">
        <v>186</v>
      </c>
      <c r="B130" s="9" t="s">
        <v>129</v>
      </c>
      <c r="C130" s="9" t="s">
        <v>116</v>
      </c>
      <c r="D130" s="9" t="s">
        <v>117</v>
      </c>
      <c r="E130" s="25" t="str">
        <f>IFERROR(IF(INDEX(Mapping!$A$2:$A$181,MATCH($A130,Mapping!$F$2:$F$181,0)) = 0, "", INDEX(Mapping!$A$2:$A$181,MATCH($A130,Mapping!$F$2:$F$181,0))), "")</f>
        <v/>
      </c>
      <c r="F130" s="25"/>
      <c r="G130" s="25"/>
      <c r="H130" s="25" t="str">
        <f>IFERROR(IF(INDEX(Mapping!$L$2:$L$181,MATCH($A130,Mapping!$F$2:$F$181,0)) = 0, "", INDEX(Mapping!$L$2:$L$181,MATCH($A130,Mapping!$F$2:$F$181,0))), "")</f>
        <v/>
      </c>
    </row>
    <row r="131" spans="1:8" ht="15.75" thickBot="1" x14ac:dyDescent="0.3">
      <c r="A131" s="8" t="s">
        <v>185</v>
      </c>
      <c r="B131" s="9" t="s">
        <v>130</v>
      </c>
      <c r="C131" s="9" t="s">
        <v>116</v>
      </c>
      <c r="D131" s="9" t="s">
        <v>117</v>
      </c>
      <c r="E131" s="25" t="str">
        <f>IFERROR(IF(INDEX(Mapping!$A$2:$A$181,MATCH($A131,Mapping!$F$2:$F$181,0)) = 0, "", INDEX(Mapping!$A$2:$A$181,MATCH($A131,Mapping!$F$2:$F$181,0))), "")</f>
        <v/>
      </c>
      <c r="F131" s="25"/>
      <c r="G131" s="25"/>
      <c r="H131" s="25" t="str">
        <f>IFERROR(IF(INDEX(Mapping!$L$2:$L$181,MATCH($A131,Mapping!$F$2:$F$181,0)) = 0, "", INDEX(Mapping!$L$2:$L$181,MATCH($A131,Mapping!$F$2:$F$181,0))), "")</f>
        <v/>
      </c>
    </row>
    <row r="132" spans="1:8" ht="15.75" thickBot="1" x14ac:dyDescent="0.3">
      <c r="A132" s="8" t="s">
        <v>187</v>
      </c>
      <c r="B132" s="9" t="s">
        <v>131</v>
      </c>
      <c r="C132" s="9" t="s">
        <v>116</v>
      </c>
      <c r="D132" s="9" t="s">
        <v>117</v>
      </c>
      <c r="E132" s="25" t="str">
        <f>IFERROR(IF(INDEX(Mapping!$A$2:$A$181,MATCH($A132,Mapping!$F$2:$F$181,0)) = 0, "", INDEX(Mapping!$A$2:$A$181,MATCH($A132,Mapping!$F$2:$F$181,0))), "")</f>
        <v/>
      </c>
      <c r="F132" s="25"/>
      <c r="G132" s="25"/>
      <c r="H132" s="25" t="str">
        <f>IFERROR(IF(INDEX(Mapping!$L$2:$L$181,MATCH($A132,Mapping!$F$2:$F$181,0)) = 0, "", INDEX(Mapping!$L$2:$L$181,MATCH($A132,Mapping!$F$2:$F$181,0))), "")</f>
        <v/>
      </c>
    </row>
    <row r="133" spans="1:8" ht="15.75" thickBot="1" x14ac:dyDescent="0.3">
      <c r="A133" s="8" t="s">
        <v>188</v>
      </c>
      <c r="B133" s="9" t="s">
        <v>132</v>
      </c>
      <c r="C133" s="9" t="s">
        <v>116</v>
      </c>
      <c r="D133" s="9" t="s">
        <v>117</v>
      </c>
      <c r="E133" s="25" t="str">
        <f>IFERROR(IF(INDEX(Mapping!$A$2:$A$181,MATCH($A133,Mapping!$F$2:$F$181,0)) = 0, "", INDEX(Mapping!$A$2:$A$181,MATCH($A133,Mapping!$F$2:$F$181,0))), "")</f>
        <v/>
      </c>
      <c r="F133" s="25"/>
      <c r="G133" s="25"/>
      <c r="H133" s="25" t="str">
        <f>IFERROR(IF(INDEX(Mapping!$L$2:$L$181,MATCH($A133,Mapping!$F$2:$F$181,0)) = 0, "", INDEX(Mapping!$L$2:$L$181,MATCH($A133,Mapping!$F$2:$F$181,0))), "")</f>
        <v/>
      </c>
    </row>
    <row r="134" spans="1:8" ht="15.75" thickBot="1" x14ac:dyDescent="0.3">
      <c r="A134" s="8" t="s">
        <v>189</v>
      </c>
      <c r="B134" s="9" t="s">
        <v>133</v>
      </c>
      <c r="C134" s="9" t="s">
        <v>116</v>
      </c>
      <c r="D134" s="9" t="s">
        <v>117</v>
      </c>
      <c r="E134" s="25" t="str">
        <f>IFERROR(IF(INDEX(Mapping!$A$2:$A$181,MATCH($A134,Mapping!$F$2:$F$181,0)) = 0, "", INDEX(Mapping!$A$2:$A$181,MATCH($A134,Mapping!$F$2:$F$181,0))), "")</f>
        <v/>
      </c>
      <c r="F134" s="25"/>
      <c r="G134" s="25"/>
      <c r="H134" s="25" t="str">
        <f>IFERROR(IF(INDEX(Mapping!$L$2:$L$181,MATCH($A134,Mapping!$F$2:$F$181,0)) = 0, "", INDEX(Mapping!$L$2:$L$181,MATCH($A134,Mapping!$F$2:$F$181,0))), "")</f>
        <v/>
      </c>
    </row>
    <row r="135" spans="1:8" ht="15.75" thickBot="1" x14ac:dyDescent="0.3">
      <c r="A135" s="8" t="s">
        <v>190</v>
      </c>
      <c r="B135" s="9" t="s">
        <v>134</v>
      </c>
      <c r="C135" s="9" t="s">
        <v>116</v>
      </c>
      <c r="D135" s="9" t="s">
        <v>117</v>
      </c>
      <c r="E135" s="25" t="str">
        <f>IFERROR(IF(INDEX(Mapping!$A$2:$A$181,MATCH($A135,Mapping!$F$2:$F$181,0)) = 0, "", INDEX(Mapping!$A$2:$A$181,MATCH($A135,Mapping!$F$2:$F$181,0))), "")</f>
        <v/>
      </c>
      <c r="F135" s="25"/>
      <c r="G135" s="25"/>
      <c r="H135" s="25" t="str">
        <f>IFERROR(IF(INDEX(Mapping!$L$2:$L$181,MATCH($A135,Mapping!$F$2:$F$181,0)) = 0, "", INDEX(Mapping!$L$2:$L$181,MATCH($A135,Mapping!$F$2:$F$181,0))), "")</f>
        <v/>
      </c>
    </row>
    <row r="136" spans="1:8" ht="15.75" thickBot="1" x14ac:dyDescent="0.3">
      <c r="A136" s="8" t="s">
        <v>191</v>
      </c>
      <c r="B136" s="9" t="s">
        <v>135</v>
      </c>
      <c r="C136" s="9" t="s">
        <v>116</v>
      </c>
      <c r="D136" s="9" t="s">
        <v>117</v>
      </c>
      <c r="E136" s="25" t="str">
        <f>IFERROR(IF(INDEX(Mapping!$A$2:$A$181,MATCH($A136,Mapping!$F$2:$F$181,0)) = 0, "", INDEX(Mapping!$A$2:$A$181,MATCH($A136,Mapping!$F$2:$F$181,0))), "")</f>
        <v/>
      </c>
      <c r="F136" s="25"/>
      <c r="G136" s="25"/>
      <c r="H136" s="25" t="str">
        <f>IFERROR(IF(INDEX(Mapping!$L$2:$L$181,MATCH($A136,Mapping!$F$2:$F$181,0)) = 0, "", INDEX(Mapping!$L$2:$L$181,MATCH($A136,Mapping!$F$2:$F$181,0))), "")</f>
        <v/>
      </c>
    </row>
    <row r="137" spans="1:8" ht="15.75" thickBot="1" x14ac:dyDescent="0.3">
      <c r="A137" s="8" t="s">
        <v>193</v>
      </c>
      <c r="B137" s="9" t="s">
        <v>136</v>
      </c>
      <c r="C137" s="9" t="s">
        <v>116</v>
      </c>
      <c r="D137" s="9" t="s">
        <v>117</v>
      </c>
      <c r="E137" s="25" t="str">
        <f>IFERROR(IF(INDEX(Mapping!$A$2:$A$181,MATCH($A137,Mapping!$F$2:$F$181,0)) = 0, "", INDEX(Mapping!$A$2:$A$181,MATCH($A137,Mapping!$F$2:$F$181,0))), "")</f>
        <v/>
      </c>
      <c r="F137" s="25"/>
      <c r="G137" s="25"/>
      <c r="H137" s="25" t="str">
        <f>IFERROR(IF(INDEX(Mapping!$L$2:$L$181,MATCH($A137,Mapping!$F$2:$F$181,0)) = 0, "", INDEX(Mapping!$L$2:$L$181,MATCH($A137,Mapping!$F$2:$F$181,0))), "")</f>
        <v/>
      </c>
    </row>
    <row r="138" spans="1:8" ht="15.75" thickBot="1" x14ac:dyDescent="0.3">
      <c r="A138" s="8" t="s">
        <v>194</v>
      </c>
      <c r="B138" s="9" t="s">
        <v>137</v>
      </c>
      <c r="C138" s="9" t="s">
        <v>116</v>
      </c>
      <c r="D138" s="9" t="s">
        <v>117</v>
      </c>
      <c r="E138" s="25" t="str">
        <f>IFERROR(IF(INDEX(Mapping!$A$2:$A$181,MATCH($A138,Mapping!$F$2:$F$181,0)) = 0, "", INDEX(Mapping!$A$2:$A$181,MATCH($A138,Mapping!$F$2:$F$181,0))), "")</f>
        <v/>
      </c>
      <c r="F138" s="25"/>
      <c r="G138" s="25"/>
      <c r="H138" s="25" t="str">
        <f>IFERROR(IF(INDEX(Mapping!$L$2:$L$181,MATCH($A138,Mapping!$F$2:$F$181,0)) = 0, "", INDEX(Mapping!$L$2:$L$181,MATCH($A138,Mapping!$F$2:$F$181,0))), "")</f>
        <v/>
      </c>
    </row>
    <row r="139" spans="1:8" ht="15.75" thickBot="1" x14ac:dyDescent="0.3">
      <c r="A139" s="8" t="s">
        <v>195</v>
      </c>
      <c r="B139" s="9" t="s">
        <v>138</v>
      </c>
      <c r="C139" s="9" t="s">
        <v>116</v>
      </c>
      <c r="D139" s="9" t="s">
        <v>117</v>
      </c>
      <c r="E139" s="25" t="str">
        <f>IFERROR(IF(INDEX(Mapping!$A$2:$A$181,MATCH($A139,Mapping!$F$2:$F$181,0)) = 0, "", INDEX(Mapping!$A$2:$A$181,MATCH($A139,Mapping!$F$2:$F$181,0))), "")</f>
        <v/>
      </c>
      <c r="F139" s="25"/>
      <c r="G139" s="25"/>
      <c r="H139" s="25" t="str">
        <f>IFERROR(IF(INDEX(Mapping!$L$2:$L$181,MATCH($A139,Mapping!$F$2:$F$181,0)) = 0, "", INDEX(Mapping!$L$2:$L$181,MATCH($A139,Mapping!$F$2:$F$181,0))), "")</f>
        <v/>
      </c>
    </row>
    <row r="140" spans="1:8" ht="15.75" thickBot="1" x14ac:dyDescent="0.3">
      <c r="A140" s="8" t="s">
        <v>149</v>
      </c>
      <c r="B140" s="9" t="s">
        <v>139</v>
      </c>
      <c r="C140" s="9" t="s">
        <v>116</v>
      </c>
      <c r="D140" s="9" t="s">
        <v>117</v>
      </c>
      <c r="E140" s="25" t="str">
        <f>IFERROR(IF(INDEX(Mapping!$A$2:$A$181,MATCH($A140,Mapping!$F$2:$F$181,0)) = 0, "", INDEX(Mapping!$A$2:$A$181,MATCH($A140,Mapping!$F$2:$F$181,0))), "")</f>
        <v/>
      </c>
      <c r="F140" s="25"/>
      <c r="G140" s="25"/>
      <c r="H140" s="25" t="str">
        <f>IFERROR(IF(INDEX(Mapping!$L$2:$L$181,MATCH($A140,Mapping!$F$2:$F$181,0)) = 0, "", INDEX(Mapping!$L$2:$L$181,MATCH($A140,Mapping!$F$2:$F$181,0))), "")</f>
        <v/>
      </c>
    </row>
    <row r="141" spans="1:8" ht="15.75" thickBot="1" x14ac:dyDescent="0.3">
      <c r="A141" s="8" t="s">
        <v>196</v>
      </c>
      <c r="B141" s="9" t="s">
        <v>140</v>
      </c>
      <c r="C141" s="9" t="s">
        <v>116</v>
      </c>
      <c r="D141" s="9" t="s">
        <v>117</v>
      </c>
      <c r="E141" s="25" t="str">
        <f>IFERROR(IF(INDEX(Mapping!$A$2:$A$181,MATCH($A141,Mapping!$F$2:$F$181,0)) = 0, "", INDEX(Mapping!$A$2:$A$181,MATCH($A141,Mapping!$F$2:$F$181,0))), "")</f>
        <v/>
      </c>
      <c r="F141" s="25"/>
      <c r="G141" s="25"/>
      <c r="H141" s="25" t="str">
        <f>IFERROR(IF(INDEX(Mapping!$L$2:$L$181,MATCH($A141,Mapping!$F$2:$F$181,0)) = 0, "", INDEX(Mapping!$L$2:$L$181,MATCH($A141,Mapping!$F$2:$F$181,0))), "")</f>
        <v/>
      </c>
    </row>
    <row r="142" spans="1:8" ht="15.75" thickBot="1" x14ac:dyDescent="0.3">
      <c r="A142" s="8" t="s">
        <v>197</v>
      </c>
      <c r="B142" s="9" t="s">
        <v>141</v>
      </c>
      <c r="C142" s="9" t="s">
        <v>116</v>
      </c>
      <c r="D142" s="9" t="s">
        <v>117</v>
      </c>
      <c r="E142" s="25" t="str">
        <f>IFERROR(IF(INDEX(Mapping!$A$2:$A$181,MATCH($A142,Mapping!$F$2:$F$181,0)) = 0, "", INDEX(Mapping!$A$2:$A$181,MATCH($A142,Mapping!$F$2:$F$181,0))), "")</f>
        <v/>
      </c>
      <c r="F142" s="25"/>
      <c r="G142" s="25"/>
      <c r="H142" s="25" t="str">
        <f>IFERROR(IF(INDEX(Mapping!$L$2:$L$181,MATCH($A142,Mapping!$F$2:$F$181,0)) = 0, "", INDEX(Mapping!$L$2:$L$181,MATCH($A142,Mapping!$F$2:$F$181,0))), "")</f>
        <v/>
      </c>
    </row>
  </sheetData>
  <conditionalFormatting sqref="A103 G88:G142 A2:A9 A11:A24 A27:A83">
    <cfRule type="containsBlanks" dxfId="23" priority="9">
      <formula>LEN(TRIM(A2))=0</formula>
    </cfRule>
  </conditionalFormatting>
  <conditionalFormatting sqref="A105">
    <cfRule type="containsBlanks" dxfId="22" priority="8">
      <formula>LEN(TRIM(A105))=0</formula>
    </cfRule>
  </conditionalFormatting>
  <conditionalFormatting sqref="A109">
    <cfRule type="containsBlanks" dxfId="21" priority="7">
      <formula>LEN(TRIM(A109))=0</formula>
    </cfRule>
  </conditionalFormatting>
  <conditionalFormatting sqref="E88:F142">
    <cfRule type="containsBlanks" dxfId="20" priority="6">
      <formula>LEN(TRIM(E88))=0</formula>
    </cfRule>
  </conditionalFormatting>
  <conditionalFormatting sqref="A10">
    <cfRule type="containsBlanks" dxfId="19" priority="3">
      <formula>LEN(TRIM(A10))=0</formula>
    </cfRule>
  </conditionalFormatting>
  <conditionalFormatting sqref="A25">
    <cfRule type="containsBlanks" dxfId="18" priority="2">
      <formula>LEN(TRIM(A25))=0</formula>
    </cfRule>
  </conditionalFormatting>
  <conditionalFormatting sqref="A26">
    <cfRule type="containsBlanks" dxfId="17" priority="1">
      <formula>LEN(TRIM(A26))=0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L178"/>
  <sheetViews>
    <sheetView zoomScaleNormal="100" workbookViewId="0">
      <selection activeCell="D138" sqref="D138"/>
    </sheetView>
  </sheetViews>
  <sheetFormatPr defaultRowHeight="15" x14ac:dyDescent="0.25"/>
  <cols>
    <col min="1" max="1" width="34.5703125" bestFit="1" customWidth="1"/>
    <col min="2" max="2" width="29.28515625" bestFit="1" customWidth="1"/>
    <col min="3" max="3" width="50.5703125" bestFit="1" customWidth="1"/>
    <col min="4" max="4" width="30.42578125" customWidth="1"/>
    <col min="5" max="5" width="30" bestFit="1" customWidth="1"/>
    <col min="6" max="6" width="39.85546875" bestFit="1" customWidth="1"/>
    <col min="7" max="7" width="28.5703125" customWidth="1"/>
    <col min="8" max="8" width="60.5703125" bestFit="1" customWidth="1"/>
    <col min="9" max="9" width="21.140625" bestFit="1" customWidth="1"/>
    <col min="10" max="10" width="14.7109375" bestFit="1" customWidth="1"/>
    <col min="11" max="11" width="12" bestFit="1" customWidth="1"/>
    <col min="12" max="12" width="64.42578125" bestFit="1" customWidth="1"/>
    <col min="15" max="15" width="9.140625" customWidth="1"/>
  </cols>
  <sheetData>
    <row r="1" spans="1:12" x14ac:dyDescent="0.25">
      <c r="A1" s="12" t="s">
        <v>49</v>
      </c>
      <c r="B1" s="13" t="s">
        <v>50</v>
      </c>
      <c r="C1" s="13" t="s">
        <v>266</v>
      </c>
      <c r="D1" s="14" t="s">
        <v>489</v>
      </c>
      <c r="E1" s="14" t="s">
        <v>344</v>
      </c>
      <c r="F1" s="14" t="s">
        <v>151</v>
      </c>
      <c r="G1" s="14" t="s">
        <v>444</v>
      </c>
      <c r="H1" s="14" t="s">
        <v>3</v>
      </c>
      <c r="I1" s="14" t="s">
        <v>335</v>
      </c>
      <c r="J1" s="14" t="s">
        <v>278</v>
      </c>
      <c r="K1" s="14" t="s">
        <v>322</v>
      </c>
      <c r="L1" s="14" t="s">
        <v>150</v>
      </c>
    </row>
    <row r="2" spans="1:12" x14ac:dyDescent="0.25">
      <c r="A2" s="10" t="s">
        <v>211</v>
      </c>
      <c r="B2" s="3" t="s">
        <v>212</v>
      </c>
      <c r="C2" s="3" t="str">
        <f t="shared" ref="C2:C77" si="0">IF(NOT(ISBLANK(B2)),_xlfn.CONCAT(A2,"[",B2,"]"),"")</f>
        <v>LotG/SourceLot[Status]</v>
      </c>
      <c r="D2" s="3"/>
      <c r="E2" s="3"/>
      <c r="F2" s="3"/>
      <c r="G2" s="3"/>
      <c r="H2" s="1"/>
      <c r="I2" s="1"/>
      <c r="J2" s="1"/>
      <c r="K2" s="1"/>
      <c r="L2" s="1"/>
    </row>
    <row r="3" spans="1:12" x14ac:dyDescent="0.25">
      <c r="A3" s="10" t="s">
        <v>211</v>
      </c>
      <c r="B3" s="3" t="s">
        <v>213</v>
      </c>
      <c r="C3" s="3" t="str">
        <f t="shared" si="0"/>
        <v>LotG/SourceLot[RecursionLevels]</v>
      </c>
      <c r="D3" s="4"/>
      <c r="E3" s="4"/>
      <c r="F3" s="4"/>
      <c r="G3" s="4"/>
      <c r="H3" s="1"/>
      <c r="I3" s="1"/>
      <c r="J3" s="1"/>
      <c r="K3" s="1"/>
      <c r="L3" s="1"/>
    </row>
    <row r="4" spans="1:12" x14ac:dyDescent="0.25">
      <c r="A4" s="10" t="s">
        <v>211</v>
      </c>
      <c r="B4" s="3" t="s">
        <v>214</v>
      </c>
      <c r="C4" s="3" t="str">
        <f t="shared" si="0"/>
        <v>LotG/SourceLot[ProcessedNodes]</v>
      </c>
      <c r="D4" s="4"/>
      <c r="E4" s="4"/>
      <c r="F4" s="4"/>
      <c r="G4" s="4"/>
      <c r="H4" s="1"/>
      <c r="I4" s="1"/>
      <c r="J4" s="1"/>
      <c r="K4" s="1"/>
      <c r="L4" s="1"/>
    </row>
    <row r="5" spans="1:12" x14ac:dyDescent="0.25">
      <c r="A5" s="10" t="s">
        <v>211</v>
      </c>
      <c r="B5" s="3" t="s">
        <v>215</v>
      </c>
      <c r="C5" s="3" t="str">
        <f t="shared" si="0"/>
        <v>LotG/SourceLot[SearchedLot]</v>
      </c>
      <c r="D5" s="4"/>
      <c r="E5" s="4"/>
      <c r="F5" s="4"/>
      <c r="G5" s="4"/>
      <c r="H5" s="1"/>
      <c r="I5" s="1"/>
      <c r="J5" s="1"/>
      <c r="K5" s="1"/>
      <c r="L5" s="1"/>
    </row>
    <row r="6" spans="1:12" x14ac:dyDescent="0.25">
      <c r="A6" s="10" t="s">
        <v>216</v>
      </c>
      <c r="B6" s="3" t="s">
        <v>217</v>
      </c>
      <c r="C6" s="3" t="str">
        <f t="shared" si="0"/>
        <v>LotG/SourceLot/Lot[FoundryLot]</v>
      </c>
      <c r="D6" s="4"/>
      <c r="E6" s="4"/>
      <c r="F6" s="4"/>
      <c r="G6" s="4"/>
      <c r="H6" s="1"/>
      <c r="I6" s="1"/>
      <c r="J6" s="1"/>
      <c r="K6" s="1"/>
      <c r="L6" s="1"/>
    </row>
    <row r="7" spans="1:12" x14ac:dyDescent="0.25">
      <c r="A7" s="10" t="s">
        <v>216</v>
      </c>
      <c r="B7" s="3" t="s">
        <v>160</v>
      </c>
      <c r="C7" s="3" t="str">
        <f t="shared" si="0"/>
        <v>LotG/SourceLot/Lot[Bank]</v>
      </c>
      <c r="D7" s="3"/>
      <c r="E7" s="3"/>
      <c r="F7" s="3" t="s">
        <v>161</v>
      </c>
      <c r="G7" s="3"/>
      <c r="H7" s="1"/>
      <c r="I7" s="1"/>
      <c r="J7" s="1"/>
      <c r="K7" s="1"/>
      <c r="L7" s="1"/>
    </row>
    <row r="8" spans="1:12" x14ac:dyDescent="0.25">
      <c r="A8" s="10" t="s">
        <v>216</v>
      </c>
      <c r="B8" s="3" t="s">
        <v>4</v>
      </c>
      <c r="C8" s="3" t="str">
        <f t="shared" si="0"/>
        <v>LotG/SourceLot/Lot[Fab]</v>
      </c>
      <c r="D8" s="3" t="s">
        <v>4</v>
      </c>
      <c r="E8" s="3"/>
      <c r="F8" s="3" t="s">
        <v>82</v>
      </c>
      <c r="G8" s="3"/>
      <c r="H8" s="1" t="s">
        <v>5</v>
      </c>
      <c r="I8" s="1"/>
      <c r="J8" s="1"/>
      <c r="K8" s="1"/>
      <c r="L8" s="1"/>
    </row>
    <row r="9" spans="1:12" x14ac:dyDescent="0.25">
      <c r="A9" s="10" t="s">
        <v>216</v>
      </c>
      <c r="B9" s="3" t="s">
        <v>147</v>
      </c>
      <c r="C9" s="3" t="str">
        <f t="shared" si="0"/>
        <v>LotG/SourceLot/Lot[LotClass]</v>
      </c>
      <c r="D9" s="3" t="s">
        <v>147</v>
      </c>
      <c r="E9" s="3"/>
      <c r="F9" s="3" t="s">
        <v>94</v>
      </c>
      <c r="G9" s="3"/>
      <c r="H9" s="1" t="s">
        <v>86</v>
      </c>
      <c r="I9" s="1" t="s">
        <v>341</v>
      </c>
      <c r="J9" s="1"/>
      <c r="K9" s="1" t="s">
        <v>321</v>
      </c>
      <c r="L9" s="1" t="s">
        <v>415</v>
      </c>
    </row>
    <row r="10" spans="1:12" x14ac:dyDescent="0.25">
      <c r="A10" s="10" t="s">
        <v>216</v>
      </c>
      <c r="B10" s="3" t="s">
        <v>154</v>
      </c>
      <c r="C10" s="3" t="str">
        <f t="shared" si="0"/>
        <v>LotG/SourceLot/Lot[WaferPart]</v>
      </c>
      <c r="D10" s="3" t="s">
        <v>487</v>
      </c>
      <c r="E10" s="3"/>
      <c r="F10" s="3" t="s">
        <v>66</v>
      </c>
      <c r="G10" s="3"/>
      <c r="H10" s="1" t="s">
        <v>60</v>
      </c>
      <c r="I10" s="1"/>
      <c r="J10" s="1"/>
      <c r="K10" s="1"/>
      <c r="L10" s="1"/>
    </row>
    <row r="11" spans="1:12" x14ac:dyDescent="0.25">
      <c r="A11" s="10" t="s">
        <v>216</v>
      </c>
      <c r="B11" s="3" t="s">
        <v>218</v>
      </c>
      <c r="C11" s="3" t="str">
        <f t="shared" si="0"/>
        <v>LotG/SourceLot/Lot[Bank Type]</v>
      </c>
      <c r="D11" s="3"/>
      <c r="E11" s="3"/>
      <c r="F11" s="3"/>
      <c r="G11" s="3"/>
      <c r="H11" s="1"/>
      <c r="I11" s="1"/>
      <c r="J11" s="1"/>
      <c r="K11" s="1"/>
      <c r="L11" s="1"/>
    </row>
    <row r="12" spans="1:12" x14ac:dyDescent="0.25">
      <c r="A12" s="10" t="s">
        <v>216</v>
      </c>
      <c r="B12" s="3" t="s">
        <v>148</v>
      </c>
      <c r="C12" s="3" t="str">
        <f t="shared" si="0"/>
        <v>LotG/SourceLot/Lot[LotNumber]</v>
      </c>
      <c r="D12" s="3" t="s">
        <v>498</v>
      </c>
      <c r="E12" s="3"/>
      <c r="F12" s="3" t="s">
        <v>279</v>
      </c>
      <c r="G12" s="3"/>
      <c r="H12" s="39" t="s">
        <v>446</v>
      </c>
      <c r="I12" s="1" t="s">
        <v>139</v>
      </c>
      <c r="J12" s="1"/>
      <c r="K12" s="1"/>
      <c r="L12" s="1"/>
    </row>
    <row r="13" spans="1:12" x14ac:dyDescent="0.25">
      <c r="A13" s="10" t="s">
        <v>216</v>
      </c>
      <c r="B13" s="3" t="s">
        <v>219</v>
      </c>
      <c r="C13" s="3" t="str">
        <f t="shared" si="0"/>
        <v>LotG/SourceLot/Lot[PromisLot]</v>
      </c>
      <c r="D13" s="4"/>
      <c r="E13" s="4"/>
      <c r="F13" s="4"/>
      <c r="G13" s="4"/>
      <c r="H13" s="1"/>
      <c r="I13" s="1"/>
      <c r="J13" s="1"/>
      <c r="K13" s="1"/>
      <c r="L13" s="1"/>
    </row>
    <row r="14" spans="1:12" x14ac:dyDescent="0.25">
      <c r="A14" s="10" t="s">
        <v>30</v>
      </c>
      <c r="B14" s="3" t="s">
        <v>220</v>
      </c>
      <c r="C14" s="3" t="str">
        <f t="shared" si="0"/>
        <v>WaferId[Error]</v>
      </c>
      <c r="D14" s="4"/>
      <c r="E14" s="4"/>
      <c r="F14" s="4"/>
      <c r="G14" s="4"/>
      <c r="H14" s="1"/>
      <c r="I14" s="1"/>
      <c r="J14" s="1"/>
      <c r="K14" s="1"/>
      <c r="L14" s="1"/>
    </row>
    <row r="15" spans="1:12" x14ac:dyDescent="0.25">
      <c r="A15" s="10" t="s">
        <v>25</v>
      </c>
      <c r="B15" s="3" t="s">
        <v>26</v>
      </c>
      <c r="C15" s="3" t="str">
        <f t="shared" si="0"/>
        <v>DataPort[TestFacility]</v>
      </c>
      <c r="D15" s="3" t="s">
        <v>26</v>
      </c>
      <c r="E15" s="3"/>
      <c r="F15" s="3" t="s">
        <v>280</v>
      </c>
      <c r="G15" s="3"/>
      <c r="H15" s="1" t="s">
        <v>61</v>
      </c>
      <c r="I15" s="1" t="s">
        <v>115</v>
      </c>
      <c r="J15" s="1"/>
      <c r="K15" s="1"/>
      <c r="L15" s="1"/>
    </row>
    <row r="16" spans="1:12" x14ac:dyDescent="0.25">
      <c r="A16" s="10" t="s">
        <v>421</v>
      </c>
      <c r="B16" s="3" t="s">
        <v>23</v>
      </c>
      <c r="C16" s="3" t="str">
        <f t="shared" si="0"/>
        <v>File[FileName]</v>
      </c>
      <c r="D16" s="3" t="s">
        <v>482</v>
      </c>
      <c r="E16" s="3"/>
      <c r="F16" s="3" t="s">
        <v>445</v>
      </c>
      <c r="G16" s="3"/>
      <c r="H16" s="1" t="s">
        <v>439</v>
      </c>
      <c r="I16" s="1" t="s">
        <v>118</v>
      </c>
      <c r="J16" s="1"/>
      <c r="K16" s="1"/>
      <c r="L16" s="1"/>
    </row>
    <row r="17" spans="1:12" x14ac:dyDescent="0.25">
      <c r="A17" s="10" t="s">
        <v>421</v>
      </c>
      <c r="B17" s="3" t="s">
        <v>221</v>
      </c>
      <c r="C17" s="3" t="str">
        <f t="shared" si="0"/>
        <v>File[STDFVersion]</v>
      </c>
      <c r="D17" s="4"/>
      <c r="E17" s="4"/>
      <c r="F17" s="4"/>
      <c r="G17" s="4"/>
      <c r="H17" s="1"/>
      <c r="I17" s="1"/>
      <c r="J17" s="1"/>
      <c r="K17" s="1"/>
      <c r="L17" s="1"/>
    </row>
    <row r="18" spans="1:12" x14ac:dyDescent="0.25">
      <c r="A18" s="10" t="s">
        <v>421</v>
      </c>
      <c r="B18" s="3" t="s">
        <v>222</v>
      </c>
      <c r="C18" s="3" t="str">
        <f t="shared" si="0"/>
        <v>File[CPUType]</v>
      </c>
      <c r="D18" s="4"/>
      <c r="E18" s="4"/>
      <c r="F18" s="4"/>
      <c r="G18" s="4"/>
      <c r="H18" s="1"/>
      <c r="I18" s="1"/>
      <c r="J18" s="1"/>
      <c r="K18" s="1"/>
      <c r="L18" s="1"/>
    </row>
    <row r="19" spans="1:12" x14ac:dyDescent="0.25">
      <c r="A19" s="10" t="s">
        <v>427</v>
      </c>
      <c r="B19" s="3" t="s">
        <v>223</v>
      </c>
      <c r="C19" s="3" t="str">
        <f t="shared" si="0"/>
        <v>File/Audits/Audit[CMDLine]</v>
      </c>
      <c r="D19" s="4"/>
      <c r="E19" s="4"/>
      <c r="F19" s="4"/>
      <c r="G19" s="4"/>
      <c r="H19" s="1"/>
      <c r="I19" s="1"/>
      <c r="J19" s="1"/>
      <c r="K19" s="1"/>
      <c r="L19" s="1"/>
    </row>
    <row r="20" spans="1:12" x14ac:dyDescent="0.25">
      <c r="A20" s="10" t="s">
        <v>427</v>
      </c>
      <c r="B20" s="3" t="s">
        <v>224</v>
      </c>
      <c r="C20" s="3" t="str">
        <f t="shared" si="0"/>
        <v>File/Audits/Audit[ModificationTime]</v>
      </c>
      <c r="D20" s="4"/>
      <c r="E20" s="4"/>
      <c r="F20" s="4"/>
      <c r="G20" s="4"/>
      <c r="H20" s="1"/>
      <c r="I20" s="1"/>
      <c r="J20" s="1"/>
      <c r="K20" s="1"/>
      <c r="L20" s="1"/>
    </row>
    <row r="21" spans="1:12" x14ac:dyDescent="0.25">
      <c r="A21" s="10" t="s">
        <v>427</v>
      </c>
      <c r="B21" s="3" t="s">
        <v>7</v>
      </c>
      <c r="C21" s="3" t="str">
        <f t="shared" si="0"/>
        <v>File/Audits/Audit[Id]</v>
      </c>
      <c r="D21" s="4"/>
      <c r="E21" s="4"/>
      <c r="F21" s="4"/>
      <c r="G21" s="4"/>
      <c r="H21" s="1"/>
      <c r="I21" s="1"/>
      <c r="J21" s="1"/>
      <c r="K21" s="1"/>
      <c r="L21" s="1"/>
    </row>
    <row r="22" spans="1:12" x14ac:dyDescent="0.25">
      <c r="A22" s="10" t="s">
        <v>422</v>
      </c>
      <c r="B22" s="3" t="s">
        <v>24</v>
      </c>
      <c r="C22" s="3" t="str">
        <f t="shared" si="0"/>
        <v>File/Lot[PartType]</v>
      </c>
      <c r="D22" s="4"/>
      <c r="E22" s="4" t="s">
        <v>345</v>
      </c>
      <c r="F22" s="4"/>
      <c r="G22" s="4"/>
      <c r="H22" s="1"/>
      <c r="I22" s="1"/>
      <c r="J22" s="1"/>
      <c r="K22" s="1"/>
      <c r="L22" s="1"/>
    </row>
    <row r="23" spans="1:12" x14ac:dyDescent="0.25">
      <c r="A23" s="10" t="s">
        <v>422</v>
      </c>
      <c r="B23" s="3" t="s">
        <v>225</v>
      </c>
      <c r="C23" s="3" t="str">
        <f t="shared" si="0"/>
        <v>File/Lot[UserText]</v>
      </c>
      <c r="D23" s="4"/>
      <c r="E23" s="4" t="s">
        <v>378</v>
      </c>
      <c r="F23" s="4"/>
      <c r="G23" s="4"/>
      <c r="H23" s="1"/>
      <c r="I23" s="1"/>
      <c r="J23" s="1"/>
      <c r="K23" s="1"/>
      <c r="L23" s="1"/>
    </row>
    <row r="24" spans="1:12" x14ac:dyDescent="0.25">
      <c r="A24" s="10" t="s">
        <v>422</v>
      </c>
      <c r="B24" s="3" t="s">
        <v>226</v>
      </c>
      <c r="C24" s="3" t="str">
        <f t="shared" si="0"/>
        <v>File/Lot[SetupId]</v>
      </c>
      <c r="D24" s="4"/>
      <c r="E24" s="4" t="s">
        <v>362</v>
      </c>
      <c r="F24" s="4"/>
      <c r="G24" s="4"/>
      <c r="H24" s="1"/>
      <c r="I24" s="1"/>
      <c r="J24" s="1"/>
      <c r="K24" s="1"/>
      <c r="L24" s="1"/>
    </row>
    <row r="25" spans="1:12" x14ac:dyDescent="0.25">
      <c r="A25" s="10" t="s">
        <v>422</v>
      </c>
      <c r="B25" s="3" t="s">
        <v>21</v>
      </c>
      <c r="C25" s="3" t="str">
        <f t="shared" si="0"/>
        <v>File/Lot[NodeName]</v>
      </c>
      <c r="D25" s="3" t="s">
        <v>500</v>
      </c>
      <c r="E25" s="3" t="s">
        <v>351</v>
      </c>
      <c r="F25" s="3" t="s">
        <v>281</v>
      </c>
      <c r="G25" s="3"/>
      <c r="H25" s="1" t="s">
        <v>447</v>
      </c>
      <c r="I25" s="1" t="s">
        <v>120</v>
      </c>
      <c r="J25" s="1"/>
      <c r="K25" s="1"/>
      <c r="L25" s="1"/>
    </row>
    <row r="26" spans="1:12" x14ac:dyDescent="0.25">
      <c r="A26" s="10" t="s">
        <v>422</v>
      </c>
      <c r="B26" s="3" t="s">
        <v>342</v>
      </c>
      <c r="C26" s="3" t="str">
        <f t="shared" si="0"/>
        <v>File/Lot[ModeCode]</v>
      </c>
      <c r="D26" s="3"/>
      <c r="E26" s="3" t="s">
        <v>352</v>
      </c>
      <c r="F26" s="3"/>
      <c r="G26" s="3"/>
      <c r="H26" s="1"/>
      <c r="I26" s="1"/>
      <c r="J26" s="1"/>
      <c r="K26" s="1"/>
      <c r="L26" s="1"/>
    </row>
    <row r="27" spans="1:12" x14ac:dyDescent="0.25">
      <c r="A27" s="10" t="s">
        <v>422</v>
      </c>
      <c r="B27" s="3" t="s">
        <v>343</v>
      </c>
      <c r="C27" s="3" t="str">
        <f t="shared" ref="C27" si="1">IF(NOT(ISBLANK(B27)),_xlfn.CONCAT(A27,"[",B27,"]"),"")</f>
        <v>File/Lot[TestCode]</v>
      </c>
      <c r="D27" s="3" t="s">
        <v>492</v>
      </c>
      <c r="E27" s="3" t="s">
        <v>353</v>
      </c>
      <c r="F27" s="3" t="s">
        <v>153</v>
      </c>
      <c r="G27" s="1" t="s">
        <v>79</v>
      </c>
      <c r="H27" s="1" t="s">
        <v>12</v>
      </c>
      <c r="I27" s="1"/>
      <c r="J27" s="1"/>
      <c r="K27" s="1"/>
      <c r="L27" s="1"/>
    </row>
    <row r="28" spans="1:12" x14ac:dyDescent="0.25">
      <c r="A28" s="10" t="s">
        <v>422</v>
      </c>
      <c r="B28" s="3" t="s">
        <v>22</v>
      </c>
      <c r="C28" s="3" t="str">
        <f t="shared" si="0"/>
        <v>File/Lot[JobName]</v>
      </c>
      <c r="D28" s="3" t="s">
        <v>114</v>
      </c>
      <c r="E28" s="3" t="s">
        <v>354</v>
      </c>
      <c r="F28" s="3" t="s">
        <v>156</v>
      </c>
      <c r="G28" s="3" t="s">
        <v>114</v>
      </c>
      <c r="H28" s="1" t="s">
        <v>62</v>
      </c>
      <c r="I28" s="1"/>
      <c r="J28" s="1"/>
      <c r="K28" s="1"/>
      <c r="L28" s="1"/>
    </row>
    <row r="29" spans="1:12" x14ac:dyDescent="0.25">
      <c r="A29" s="10" t="s">
        <v>422</v>
      </c>
      <c r="B29" s="3" t="s">
        <v>18</v>
      </c>
      <c r="C29" s="3" t="str">
        <f t="shared" si="0"/>
        <v>File/Lot[LotId]</v>
      </c>
      <c r="D29" s="3" t="s">
        <v>18</v>
      </c>
      <c r="E29" s="3" t="s">
        <v>355</v>
      </c>
      <c r="F29" s="3" t="s">
        <v>152</v>
      </c>
      <c r="G29" s="3"/>
      <c r="H29" s="1" t="s">
        <v>8</v>
      </c>
      <c r="I29" s="1"/>
      <c r="J29" s="1"/>
      <c r="K29" s="1"/>
      <c r="L29" s="1"/>
    </row>
    <row r="30" spans="1:12" x14ac:dyDescent="0.25">
      <c r="A30" s="10" t="s">
        <v>422</v>
      </c>
      <c r="B30" s="3" t="s">
        <v>227</v>
      </c>
      <c r="C30" s="3" t="str">
        <f t="shared" si="0"/>
        <v>File/Lot[FlowId]</v>
      </c>
      <c r="D30" s="4"/>
      <c r="E30" s="4" t="s">
        <v>356</v>
      </c>
      <c r="F30" s="4"/>
      <c r="G30" s="4"/>
      <c r="H30" s="1"/>
      <c r="I30" s="1"/>
      <c r="J30" s="1"/>
      <c r="K30" s="1"/>
      <c r="L30" s="1"/>
    </row>
    <row r="31" spans="1:12" x14ac:dyDescent="0.25">
      <c r="A31" s="10" t="s">
        <v>422</v>
      </c>
      <c r="B31" s="3" t="s">
        <v>28</v>
      </c>
      <c r="C31" s="3" t="str">
        <f t="shared" si="0"/>
        <v>File/Lot[TestTemperature]</v>
      </c>
      <c r="D31" s="4" t="s">
        <v>282</v>
      </c>
      <c r="E31" s="4" t="s">
        <v>357</v>
      </c>
      <c r="F31" s="4" t="s">
        <v>282</v>
      </c>
      <c r="G31" s="4"/>
      <c r="H31" s="1" t="s">
        <v>448</v>
      </c>
      <c r="I31" s="1" t="s">
        <v>51</v>
      </c>
      <c r="J31" s="1"/>
      <c r="K31" s="1"/>
      <c r="L31" s="1"/>
    </row>
    <row r="32" spans="1:12" x14ac:dyDescent="0.25">
      <c r="A32" s="10" t="s">
        <v>422</v>
      </c>
      <c r="B32" s="3" t="s">
        <v>20</v>
      </c>
      <c r="C32" s="3" t="str">
        <f t="shared" si="0"/>
        <v>File/Lot[FinishTime]</v>
      </c>
      <c r="D32" s="3" t="s">
        <v>483</v>
      </c>
      <c r="E32" s="3" t="s">
        <v>358</v>
      </c>
      <c r="F32" s="3" t="s">
        <v>155</v>
      </c>
      <c r="G32" s="3"/>
      <c r="H32" s="1" t="s">
        <v>10</v>
      </c>
      <c r="I32" s="1"/>
      <c r="J32" s="1"/>
      <c r="K32" s="1"/>
      <c r="L32" s="1"/>
    </row>
    <row r="33" spans="1:12" x14ac:dyDescent="0.25">
      <c r="A33" s="10" t="s">
        <v>422</v>
      </c>
      <c r="B33" s="3" t="s">
        <v>228</v>
      </c>
      <c r="C33" s="3" t="str">
        <f t="shared" si="0"/>
        <v>File/Lot[PackageType]</v>
      </c>
      <c r="D33" s="4"/>
      <c r="E33" s="4" t="s">
        <v>373</v>
      </c>
      <c r="F33" s="4"/>
      <c r="G33" s="4"/>
      <c r="H33" s="1"/>
      <c r="I33" s="1"/>
      <c r="J33" s="1"/>
      <c r="K33" s="1"/>
      <c r="L33" s="1"/>
    </row>
    <row r="34" spans="1:12" x14ac:dyDescent="0.25">
      <c r="A34" s="10" t="s">
        <v>422</v>
      </c>
      <c r="B34" s="3" t="s">
        <v>229</v>
      </c>
      <c r="C34" s="3" t="str">
        <f t="shared" si="0"/>
        <v>File/Lot[SetupTime]</v>
      </c>
      <c r="D34" s="4"/>
      <c r="E34" s="4" t="s">
        <v>372</v>
      </c>
      <c r="F34" s="4"/>
      <c r="G34" s="4"/>
      <c r="H34" s="1"/>
      <c r="I34" s="1"/>
      <c r="J34" s="1"/>
      <c r="K34" s="1"/>
      <c r="L34" s="1"/>
    </row>
    <row r="35" spans="1:12" x14ac:dyDescent="0.25">
      <c r="A35" s="10" t="s">
        <v>422</v>
      </c>
      <c r="B35" s="3" t="s">
        <v>56</v>
      </c>
      <c r="C35" s="3" t="str">
        <f t="shared" si="0"/>
        <v>File/Lot[ExecType]</v>
      </c>
      <c r="D35" s="4" t="s">
        <v>501</v>
      </c>
      <c r="E35" s="4" t="s">
        <v>346</v>
      </c>
      <c r="F35" s="4" t="s">
        <v>283</v>
      </c>
      <c r="G35" s="4"/>
      <c r="H35" s="1" t="s">
        <v>449</v>
      </c>
      <c r="I35" s="1" t="s">
        <v>58</v>
      </c>
      <c r="J35" s="1"/>
      <c r="K35" s="1"/>
      <c r="L35" s="1"/>
    </row>
    <row r="36" spans="1:12" x14ac:dyDescent="0.25">
      <c r="A36" s="10" t="s">
        <v>422</v>
      </c>
      <c r="B36" s="3" t="s">
        <v>230</v>
      </c>
      <c r="C36" s="3" t="str">
        <f t="shared" si="0"/>
        <v>File/Lot[DesignRevision]</v>
      </c>
      <c r="D36" s="4"/>
      <c r="E36" s="4" t="s">
        <v>371</v>
      </c>
      <c r="F36" s="4"/>
      <c r="G36" s="4"/>
      <c r="H36" s="1"/>
      <c r="I36" s="1"/>
      <c r="J36" s="1"/>
      <c r="K36" s="1"/>
      <c r="L36" s="1"/>
    </row>
    <row r="37" spans="1:12" x14ac:dyDescent="0.25">
      <c r="A37" s="10" t="s">
        <v>422</v>
      </c>
      <c r="B37" s="3" t="s">
        <v>14</v>
      </c>
      <c r="C37" s="3" t="str">
        <f t="shared" si="0"/>
        <v>File/Lot[OperatorName]</v>
      </c>
      <c r="D37" s="3" t="s">
        <v>81</v>
      </c>
      <c r="E37" s="3" t="s">
        <v>370</v>
      </c>
      <c r="F37" s="3" t="s">
        <v>80</v>
      </c>
      <c r="G37" s="3"/>
      <c r="H37" s="1" t="s">
        <v>15</v>
      </c>
      <c r="I37" s="1"/>
      <c r="J37" s="1"/>
      <c r="K37" s="1"/>
      <c r="L37" s="1"/>
    </row>
    <row r="38" spans="1:12" x14ac:dyDescent="0.25">
      <c r="A38" s="10" t="s">
        <v>422</v>
      </c>
      <c r="B38" s="3" t="s">
        <v>11</v>
      </c>
      <c r="C38" s="3" t="str">
        <f t="shared" si="0"/>
        <v>File/Lot[TesterType]</v>
      </c>
      <c r="D38" s="4" t="s">
        <v>11</v>
      </c>
      <c r="E38" s="4" t="s">
        <v>360</v>
      </c>
      <c r="F38" s="3" t="s">
        <v>101</v>
      </c>
      <c r="G38" s="3"/>
      <c r="H38" s="1"/>
      <c r="I38" s="1" t="s">
        <v>102</v>
      </c>
      <c r="J38" s="1"/>
      <c r="K38" s="1"/>
      <c r="L38" s="1"/>
    </row>
    <row r="39" spans="1:12" x14ac:dyDescent="0.25">
      <c r="A39" s="10" t="s">
        <v>422</v>
      </c>
      <c r="B39" s="3" t="s">
        <v>19</v>
      </c>
      <c r="C39" s="3" t="str">
        <f t="shared" si="0"/>
        <v>File/Lot[StartTime]</v>
      </c>
      <c r="D39" s="3" t="s">
        <v>19</v>
      </c>
      <c r="E39" s="3" t="s">
        <v>359</v>
      </c>
      <c r="F39" s="3" t="s">
        <v>157</v>
      </c>
      <c r="G39" s="3"/>
      <c r="H39" s="1" t="s">
        <v>9</v>
      </c>
      <c r="I39" s="1"/>
      <c r="J39" s="1"/>
      <c r="K39" s="1"/>
      <c r="L39" s="1"/>
    </row>
    <row r="40" spans="1:12" x14ac:dyDescent="0.25">
      <c r="A40" s="10" t="s">
        <v>422</v>
      </c>
      <c r="B40" s="3" t="s">
        <v>55</v>
      </c>
      <c r="C40" s="3" t="str">
        <f t="shared" si="0"/>
        <v>File/Lot[FloorId]</v>
      </c>
      <c r="D40" s="4" t="s">
        <v>503</v>
      </c>
      <c r="E40" s="4" t="s">
        <v>364</v>
      </c>
      <c r="F40" s="4" t="s">
        <v>284</v>
      </c>
      <c r="G40" s="4"/>
      <c r="H40" s="1" t="s">
        <v>450</v>
      </c>
      <c r="I40" s="1" t="s">
        <v>54</v>
      </c>
      <c r="J40" s="1"/>
      <c r="K40" s="1"/>
      <c r="L40" s="1"/>
    </row>
    <row r="41" spans="1:12" x14ac:dyDescent="0.25">
      <c r="A41" s="10" t="s">
        <v>422</v>
      </c>
      <c r="B41" s="3" t="s">
        <v>231</v>
      </c>
      <c r="C41" s="3" t="str">
        <f t="shared" si="0"/>
        <v>File/Lot[SpecName]</v>
      </c>
      <c r="D41" s="4"/>
      <c r="E41" s="4" t="s">
        <v>347</v>
      </c>
      <c r="F41" s="4"/>
      <c r="G41" s="4"/>
      <c r="H41" s="1"/>
      <c r="I41" s="1"/>
      <c r="J41" s="1"/>
      <c r="K41" s="1"/>
      <c r="L41" s="1"/>
    </row>
    <row r="42" spans="1:12" x14ac:dyDescent="0.25">
      <c r="A42" s="10" t="s">
        <v>422</v>
      </c>
      <c r="B42" s="3" t="s">
        <v>232</v>
      </c>
      <c r="C42" s="3" t="str">
        <f t="shared" si="0"/>
        <v>File/Lot[EngLotId]</v>
      </c>
      <c r="D42" s="4"/>
      <c r="E42" s="4" t="s">
        <v>361</v>
      </c>
      <c r="F42" s="4"/>
      <c r="G42" s="4"/>
      <c r="H42" s="1"/>
      <c r="I42" s="1"/>
      <c r="J42" s="1"/>
      <c r="K42" s="1"/>
      <c r="L42" s="1"/>
    </row>
    <row r="43" spans="1:12" x14ac:dyDescent="0.25">
      <c r="A43" s="10" t="s">
        <v>422</v>
      </c>
      <c r="B43" s="3" t="s">
        <v>17</v>
      </c>
      <c r="C43" s="3" t="str">
        <f t="shared" si="0"/>
        <v>File/Lot[JobRevision]</v>
      </c>
      <c r="D43" s="3" t="s">
        <v>495</v>
      </c>
      <c r="E43" s="3" t="s">
        <v>348</v>
      </c>
      <c r="F43" s="3" t="s">
        <v>286</v>
      </c>
      <c r="G43" s="3"/>
      <c r="H43" s="1" t="s">
        <v>146</v>
      </c>
      <c r="I43" s="1" t="s">
        <v>113</v>
      </c>
      <c r="J43" s="1"/>
      <c r="K43" s="1"/>
      <c r="L43" s="1"/>
    </row>
    <row r="44" spans="1:12" x14ac:dyDescent="0.25">
      <c r="A44" s="10" t="s">
        <v>422</v>
      </c>
      <c r="B44" s="3" t="s">
        <v>233</v>
      </c>
      <c r="C44" s="3" t="str">
        <f t="shared" si="0"/>
        <v>File/Lot[FacilityId]</v>
      </c>
      <c r="D44" s="4"/>
      <c r="E44" s="4" t="s">
        <v>380</v>
      </c>
      <c r="F44" s="4"/>
      <c r="G44" s="4"/>
      <c r="H44" s="1"/>
      <c r="I44" s="1"/>
      <c r="J44" s="1"/>
      <c r="K44" s="1"/>
      <c r="L44" s="1"/>
    </row>
    <row r="45" spans="1:12" x14ac:dyDescent="0.25">
      <c r="A45" s="10" t="s">
        <v>422</v>
      </c>
      <c r="B45" s="3" t="s">
        <v>57</v>
      </c>
      <c r="C45" s="3" t="str">
        <f t="shared" si="0"/>
        <v>File/Lot[ExecVersion]</v>
      </c>
      <c r="D45" s="4" t="s">
        <v>502</v>
      </c>
      <c r="E45" s="4" t="s">
        <v>349</v>
      </c>
      <c r="F45" s="4" t="s">
        <v>287</v>
      </c>
      <c r="G45" s="4"/>
      <c r="H45" s="1" t="s">
        <v>451</v>
      </c>
      <c r="I45" s="1" t="s">
        <v>59</v>
      </c>
      <c r="J45" s="1"/>
      <c r="K45" s="1"/>
      <c r="L45" s="1"/>
    </row>
    <row r="46" spans="1:12" x14ac:dyDescent="0.25">
      <c r="A46" s="10" t="s">
        <v>422</v>
      </c>
      <c r="B46" s="3" t="s">
        <v>234</v>
      </c>
      <c r="C46" s="3" t="str">
        <f t="shared" si="0"/>
        <v>File/Lot[SpecVersion]</v>
      </c>
      <c r="D46" s="3"/>
      <c r="E46" s="3" t="s">
        <v>350</v>
      </c>
      <c r="F46" s="3"/>
      <c r="G46" s="3"/>
      <c r="H46" s="1"/>
      <c r="I46" s="1"/>
      <c r="J46" s="1"/>
      <c r="K46" s="1"/>
      <c r="L46" s="1"/>
    </row>
    <row r="47" spans="1:12" x14ac:dyDescent="0.25">
      <c r="A47" s="10" t="s">
        <v>422</v>
      </c>
      <c r="B47" s="3" t="s">
        <v>235</v>
      </c>
      <c r="C47" s="3" t="str">
        <f t="shared" si="0"/>
        <v>File/Lot[StationNumber]</v>
      </c>
      <c r="D47" s="3"/>
      <c r="E47" s="3" t="s">
        <v>369</v>
      </c>
      <c r="F47" s="3"/>
      <c r="G47" s="3"/>
      <c r="H47" s="1"/>
      <c r="I47" s="1"/>
      <c r="J47" s="1"/>
      <c r="K47" s="1"/>
      <c r="L47" s="1"/>
    </row>
    <row r="48" spans="1:12" x14ac:dyDescent="0.25">
      <c r="A48" s="10" t="s">
        <v>422</v>
      </c>
      <c r="B48" s="3" t="s">
        <v>236</v>
      </c>
      <c r="C48" s="3" t="str">
        <f t="shared" si="0"/>
        <v>File/Lot[FamilyId]</v>
      </c>
      <c r="D48" s="3"/>
      <c r="E48" s="3" t="s">
        <v>365</v>
      </c>
      <c r="F48" s="3"/>
      <c r="G48" s="3"/>
      <c r="H48" s="1"/>
      <c r="I48" s="1"/>
      <c r="J48" s="1"/>
      <c r="K48" s="1"/>
      <c r="L48" s="1"/>
    </row>
    <row r="49" spans="1:12" x14ac:dyDescent="0.25">
      <c r="A49" s="10" t="s">
        <v>422</v>
      </c>
      <c r="B49" s="3" t="s">
        <v>237</v>
      </c>
      <c r="C49" s="3" t="str">
        <f t="shared" si="0"/>
        <v>File/Lot[DateCode]</v>
      </c>
      <c r="D49" s="3"/>
      <c r="E49" s="3" t="s">
        <v>363</v>
      </c>
      <c r="F49" s="3"/>
      <c r="G49" s="3"/>
      <c r="H49" s="1"/>
      <c r="I49" s="1"/>
      <c r="J49" s="1"/>
      <c r="K49" s="1"/>
      <c r="L49" s="1"/>
    </row>
    <row r="50" spans="1:12" x14ac:dyDescent="0.25">
      <c r="A50" s="10" t="s">
        <v>422</v>
      </c>
      <c r="B50" s="3" t="s">
        <v>27</v>
      </c>
      <c r="C50" s="3" t="str">
        <f t="shared" si="0"/>
        <v>File/Lot[SublotId]</v>
      </c>
      <c r="D50" s="3" t="s">
        <v>497</v>
      </c>
      <c r="E50" s="3" t="s">
        <v>366</v>
      </c>
      <c r="F50" s="3" t="s">
        <v>83</v>
      </c>
      <c r="G50" s="3"/>
      <c r="H50" s="1" t="s">
        <v>6</v>
      </c>
      <c r="I50" s="1"/>
      <c r="J50" s="1"/>
      <c r="K50" s="1"/>
      <c r="L50" s="1" t="s">
        <v>29</v>
      </c>
    </row>
    <row r="51" spans="1:12" x14ac:dyDescent="0.25">
      <c r="A51" s="10" t="s">
        <v>422</v>
      </c>
      <c r="B51" s="3" t="s">
        <v>192</v>
      </c>
      <c r="C51" s="3" t="str">
        <f t="shared" si="0"/>
        <v>File/Lot[AUXFile]</v>
      </c>
      <c r="D51" s="4" t="s">
        <v>490</v>
      </c>
      <c r="E51" s="4" t="s">
        <v>367</v>
      </c>
      <c r="F51" s="4" t="s">
        <v>288</v>
      </c>
      <c r="G51" s="4"/>
      <c r="H51" s="1" t="s">
        <v>452</v>
      </c>
      <c r="I51" s="1" t="s">
        <v>129</v>
      </c>
      <c r="J51" s="1"/>
      <c r="K51" s="1"/>
      <c r="L51" s="1"/>
    </row>
    <row r="52" spans="1:12" x14ac:dyDescent="0.25">
      <c r="A52" s="10" t="s">
        <v>422</v>
      </c>
      <c r="B52" s="3" t="s">
        <v>238</v>
      </c>
      <c r="C52" s="3" t="str">
        <f t="shared" si="0"/>
        <v>File/Lot[ProcessId]</v>
      </c>
      <c r="D52" s="4"/>
      <c r="E52" s="4" t="s">
        <v>368</v>
      </c>
      <c r="F52" s="4"/>
      <c r="G52" s="4"/>
      <c r="H52" s="1"/>
      <c r="I52" s="1"/>
      <c r="J52" s="1"/>
      <c r="K52" s="1"/>
      <c r="L52" s="1"/>
    </row>
    <row r="53" spans="1:12" x14ac:dyDescent="0.25">
      <c r="A53" s="10"/>
      <c r="B53" s="3"/>
      <c r="C53" s="3" t="str">
        <f t="shared" ref="C53:C56" si="2">IF(NOT(ISBLANK(B53)),_xlfn.CONCAT(A53,"[",B53,"]"),"")</f>
        <v/>
      </c>
      <c r="D53" s="4" t="s">
        <v>504</v>
      </c>
      <c r="E53" s="4" t="s">
        <v>374</v>
      </c>
      <c r="F53" s="4" t="s">
        <v>390</v>
      </c>
      <c r="G53" s="4"/>
      <c r="H53" s="1"/>
      <c r="I53" s="1"/>
      <c r="J53" s="1"/>
      <c r="K53" s="1"/>
      <c r="L53" s="1"/>
    </row>
    <row r="54" spans="1:12" x14ac:dyDescent="0.25">
      <c r="A54" s="10"/>
      <c r="B54" s="3"/>
      <c r="C54" s="3" t="str">
        <f t="shared" si="2"/>
        <v/>
      </c>
      <c r="D54" s="4"/>
      <c r="E54" s="4" t="s">
        <v>375</v>
      </c>
      <c r="F54" s="4"/>
      <c r="G54" s="4"/>
      <c r="H54" s="1"/>
      <c r="I54" s="1"/>
      <c r="J54" s="1"/>
      <c r="K54" s="1"/>
      <c r="L54" s="1" t="s">
        <v>414</v>
      </c>
    </row>
    <row r="55" spans="1:12" x14ac:dyDescent="0.25">
      <c r="A55" s="10"/>
      <c r="B55" s="3"/>
      <c r="C55" s="3" t="str">
        <f t="shared" si="2"/>
        <v/>
      </c>
      <c r="D55" s="4"/>
      <c r="E55" s="4" t="s">
        <v>376</v>
      </c>
      <c r="F55" s="4"/>
      <c r="G55" s="4"/>
      <c r="H55" s="1"/>
      <c r="I55" s="1"/>
      <c r="J55" s="1"/>
      <c r="K55" s="1"/>
      <c r="L55" s="1" t="s">
        <v>414</v>
      </c>
    </row>
    <row r="56" spans="1:12" x14ac:dyDescent="0.25">
      <c r="A56" s="10"/>
      <c r="B56" s="3"/>
      <c r="C56" s="3" t="str">
        <f t="shared" si="2"/>
        <v/>
      </c>
      <c r="D56" s="4"/>
      <c r="E56" s="4" t="s">
        <v>377</v>
      </c>
      <c r="F56" s="4"/>
      <c r="G56" s="4"/>
      <c r="H56" s="1"/>
      <c r="I56" s="1"/>
      <c r="J56" s="1"/>
      <c r="K56" s="1"/>
      <c r="L56" s="1" t="s">
        <v>414</v>
      </c>
    </row>
    <row r="57" spans="1:12" x14ac:dyDescent="0.25">
      <c r="A57" s="10"/>
      <c r="B57" s="3"/>
      <c r="C57" s="3" t="str">
        <f t="shared" ref="C57:C58" si="3">IF(NOT(ISBLANK(B57)),_xlfn.CONCAT(A57,"[",B57,"]"),"")</f>
        <v/>
      </c>
      <c r="D57" s="4"/>
      <c r="E57" s="4" t="s">
        <v>379</v>
      </c>
      <c r="F57" s="4"/>
      <c r="G57" s="4"/>
      <c r="H57" s="1"/>
      <c r="I57" s="1"/>
      <c r="J57" s="1"/>
      <c r="K57" s="1"/>
      <c r="L57" s="1" t="s">
        <v>414</v>
      </c>
    </row>
    <row r="58" spans="1:12" x14ac:dyDescent="0.25">
      <c r="A58" s="10"/>
      <c r="B58" s="3"/>
      <c r="C58" s="3" t="str">
        <f t="shared" si="3"/>
        <v/>
      </c>
      <c r="D58" s="4"/>
      <c r="E58" s="4" t="s">
        <v>381</v>
      </c>
      <c r="F58" s="4"/>
      <c r="G58" s="4"/>
      <c r="H58" s="1"/>
      <c r="I58" s="1"/>
      <c r="J58" s="1"/>
      <c r="K58" s="1"/>
      <c r="L58" s="1" t="s">
        <v>414</v>
      </c>
    </row>
    <row r="59" spans="1:12" x14ac:dyDescent="0.25">
      <c r="A59" s="10"/>
      <c r="B59" s="3"/>
      <c r="C59" s="3" t="str">
        <f>IF(NOT(ISBLANK(B59)),_xlfn.CONCAT(A59,"[",B59,"]"),"")</f>
        <v/>
      </c>
      <c r="D59" s="4"/>
      <c r="E59" s="4" t="s">
        <v>382</v>
      </c>
      <c r="F59" s="4"/>
      <c r="G59" s="4"/>
      <c r="H59" s="1"/>
      <c r="I59" s="1"/>
      <c r="J59" s="1"/>
      <c r="K59" s="1"/>
      <c r="L59" s="1" t="s">
        <v>414</v>
      </c>
    </row>
    <row r="60" spans="1:12" x14ac:dyDescent="0.25">
      <c r="A60" s="10"/>
      <c r="B60" s="3"/>
      <c r="C60" s="3" t="str">
        <f>IF(NOT(ISBLANK(B60)),_xlfn.CONCAT(A60,"[",B60,"]"),"")</f>
        <v/>
      </c>
      <c r="D60" s="4"/>
      <c r="E60" s="4" t="s">
        <v>386</v>
      </c>
      <c r="F60" s="4"/>
      <c r="G60" s="4"/>
      <c r="H60" s="1"/>
      <c r="I60" s="1"/>
      <c r="J60" s="1"/>
      <c r="K60" s="1"/>
      <c r="L60" s="1" t="s">
        <v>414</v>
      </c>
    </row>
    <row r="61" spans="1:12" x14ac:dyDescent="0.25">
      <c r="A61" s="10"/>
      <c r="B61" s="3"/>
      <c r="C61" s="3" t="str">
        <f>IF(NOT(ISBLANK(B61)),_xlfn.CONCAT(A61,"[",B61,"]"),"")</f>
        <v/>
      </c>
      <c r="D61" s="4"/>
      <c r="E61" s="4" t="s">
        <v>383</v>
      </c>
      <c r="F61" s="4"/>
      <c r="G61" s="4"/>
      <c r="H61" s="1"/>
      <c r="I61" s="1"/>
      <c r="J61" s="1"/>
      <c r="K61" s="1"/>
      <c r="L61" s="1" t="s">
        <v>414</v>
      </c>
    </row>
    <row r="62" spans="1:12" x14ac:dyDescent="0.25">
      <c r="A62" s="10"/>
      <c r="B62" s="3"/>
      <c r="C62" s="3" t="str">
        <f>IF(NOT(ISBLANK(B62)),_xlfn.CONCAT(A62,"[",B62,"]"),"")</f>
        <v/>
      </c>
      <c r="D62" s="4"/>
      <c r="E62" s="4" t="s">
        <v>384</v>
      </c>
      <c r="F62" s="4"/>
      <c r="G62" s="4"/>
      <c r="H62" s="1"/>
      <c r="I62" s="1"/>
      <c r="J62" s="1"/>
      <c r="K62" s="1"/>
      <c r="L62" s="1" t="s">
        <v>414</v>
      </c>
    </row>
    <row r="63" spans="1:12" x14ac:dyDescent="0.25">
      <c r="A63" s="10"/>
      <c r="B63" s="3"/>
      <c r="C63" s="3" t="str">
        <f>IF(NOT(ISBLANK(B63)),_xlfn.CONCAT(A63,"[",B63,"]"),"")</f>
        <v/>
      </c>
      <c r="D63" s="4"/>
      <c r="E63" s="4" t="s">
        <v>385</v>
      </c>
      <c r="F63" s="4"/>
      <c r="G63" s="4"/>
      <c r="H63" s="1"/>
      <c r="I63" s="1"/>
      <c r="J63" s="1"/>
      <c r="K63" s="1"/>
      <c r="L63" s="1" t="s">
        <v>414</v>
      </c>
    </row>
    <row r="64" spans="1:12" x14ac:dyDescent="0.25">
      <c r="A64" s="10" t="s">
        <v>428</v>
      </c>
      <c r="B64" s="3" t="s">
        <v>239</v>
      </c>
      <c r="C64" s="3" t="str">
        <f t="shared" si="0"/>
        <v>File/Lot/Wmc[CenterDieX]</v>
      </c>
      <c r="D64" s="4"/>
      <c r="E64" s="4"/>
      <c r="F64" s="4"/>
      <c r="G64" s="4"/>
      <c r="H64" s="1"/>
      <c r="I64" s="1"/>
      <c r="J64" s="1"/>
      <c r="K64" s="1"/>
      <c r="L64" s="1"/>
    </row>
    <row r="65" spans="1:12" x14ac:dyDescent="0.25">
      <c r="A65" s="10" t="s">
        <v>428</v>
      </c>
      <c r="B65" s="3" t="s">
        <v>240</v>
      </c>
      <c r="C65" s="3" t="str">
        <f t="shared" si="0"/>
        <v>File/Lot/Wmc[CenterDieY]</v>
      </c>
      <c r="D65" s="4"/>
      <c r="E65" s="4"/>
      <c r="F65" s="4"/>
      <c r="G65" s="4"/>
      <c r="H65" s="1"/>
      <c r="I65" s="1"/>
      <c r="J65" s="1"/>
      <c r="K65" s="1"/>
      <c r="L65" s="1"/>
    </row>
    <row r="66" spans="1:12" x14ac:dyDescent="0.25">
      <c r="A66" s="10" t="s">
        <v>428</v>
      </c>
      <c r="B66" s="3" t="s">
        <v>241</v>
      </c>
      <c r="C66" s="3" t="str">
        <f t="shared" si="0"/>
        <v>File/Lot/Wmc[DieWidth]</v>
      </c>
      <c r="D66" s="4"/>
      <c r="E66" s="4"/>
      <c r="F66" s="4"/>
      <c r="G66" s="4"/>
      <c r="H66" s="1"/>
      <c r="I66" s="1"/>
      <c r="J66" s="1"/>
      <c r="K66" s="1"/>
      <c r="L66" s="1"/>
    </row>
    <row r="67" spans="1:12" x14ac:dyDescent="0.25">
      <c r="A67" s="10" t="s">
        <v>428</v>
      </c>
      <c r="B67" s="3" t="s">
        <v>243</v>
      </c>
      <c r="C67" s="3" t="str">
        <f t="shared" si="0"/>
        <v>File/Lot/Wmc[FlatOrientation]</v>
      </c>
      <c r="D67" s="3"/>
      <c r="E67" s="3"/>
      <c r="F67" s="3"/>
      <c r="G67" s="3"/>
      <c r="H67" s="1"/>
      <c r="I67" s="1"/>
      <c r="J67" s="1"/>
      <c r="K67" s="1"/>
      <c r="L67" s="1"/>
    </row>
    <row r="68" spans="1:12" x14ac:dyDescent="0.25">
      <c r="A68" s="10" t="s">
        <v>428</v>
      </c>
      <c r="B68" s="3" t="s">
        <v>244</v>
      </c>
      <c r="C68" s="3" t="str">
        <f t="shared" si="0"/>
        <v>File/Lot/Wmc[WaferDieUnits]</v>
      </c>
      <c r="D68" s="4"/>
      <c r="E68" s="4"/>
      <c r="F68" s="4"/>
      <c r="G68" s="4"/>
      <c r="H68" s="1"/>
      <c r="I68" s="1"/>
      <c r="J68" s="1"/>
      <c r="K68" s="1"/>
      <c r="L68" s="1"/>
    </row>
    <row r="69" spans="1:12" x14ac:dyDescent="0.25">
      <c r="A69" s="10" t="s">
        <v>428</v>
      </c>
      <c r="B69" s="3" t="s">
        <v>245</v>
      </c>
      <c r="C69" s="3" t="str">
        <f t="shared" si="0"/>
        <v>File/Lot/Wmc[WaferDiameter]</v>
      </c>
      <c r="D69" s="4"/>
      <c r="E69" s="4"/>
      <c r="F69" s="4"/>
      <c r="G69" s="4"/>
      <c r="H69" s="1"/>
      <c r="I69" s="1"/>
      <c r="J69" s="1"/>
      <c r="K69" s="1"/>
      <c r="L69" s="1"/>
    </row>
    <row r="70" spans="1:12" x14ac:dyDescent="0.25">
      <c r="A70" s="10" t="s">
        <v>428</v>
      </c>
      <c r="B70" s="3" t="s">
        <v>246</v>
      </c>
      <c r="C70" s="3" t="str">
        <f t="shared" si="0"/>
        <v>File/Lot/Wmc[DieHeight]</v>
      </c>
      <c r="D70" s="4"/>
      <c r="E70" s="4"/>
      <c r="F70" s="4"/>
      <c r="G70" s="4"/>
      <c r="H70" s="1"/>
      <c r="I70" s="1"/>
      <c r="J70" s="1"/>
      <c r="K70" s="1"/>
      <c r="L70" s="1"/>
    </row>
    <row r="71" spans="1:12" x14ac:dyDescent="0.25">
      <c r="A71" s="10" t="s">
        <v>429</v>
      </c>
      <c r="B71" s="3" t="s">
        <v>46</v>
      </c>
      <c r="C71" s="3" t="str">
        <f t="shared" si="0"/>
        <v>File/Lot/Sites/Site[Site]</v>
      </c>
      <c r="D71" s="4"/>
      <c r="E71" s="4"/>
      <c r="F71" s="4"/>
      <c r="G71" s="4"/>
      <c r="H71" s="1"/>
      <c r="I71" s="1"/>
      <c r="J71" s="1"/>
      <c r="K71" s="1"/>
      <c r="L71" s="1"/>
    </row>
    <row r="72" spans="1:12" x14ac:dyDescent="0.25">
      <c r="A72" s="10" t="s">
        <v>429</v>
      </c>
      <c r="B72" s="3" t="s">
        <v>247</v>
      </c>
      <c r="C72" s="3" t="str">
        <f t="shared" si="0"/>
        <v>File/Lot/Sites/Site[DIBBoardId]</v>
      </c>
      <c r="D72" s="4"/>
      <c r="E72" s="4"/>
      <c r="F72" s="4"/>
      <c r="G72" s="4"/>
      <c r="H72" s="1"/>
      <c r="I72" s="1"/>
      <c r="J72" s="1"/>
      <c r="K72" s="1"/>
      <c r="L72" s="1"/>
    </row>
    <row r="73" spans="1:12" x14ac:dyDescent="0.25">
      <c r="A73" s="10" t="s">
        <v>429</v>
      </c>
      <c r="B73" s="3" t="s">
        <v>248</v>
      </c>
      <c r="C73" s="3" t="str">
        <f t="shared" si="0"/>
        <v>File/Lot/Sites/Site[HandlerId]</v>
      </c>
      <c r="D73" s="3"/>
      <c r="E73" s="3" t="s">
        <v>391</v>
      </c>
      <c r="F73" s="3" t="s">
        <v>290</v>
      </c>
      <c r="G73" s="1" t="s">
        <v>440</v>
      </c>
      <c r="H73" s="1" t="s">
        <v>171</v>
      </c>
      <c r="I73" s="1" t="s">
        <v>291</v>
      </c>
      <c r="J73" s="1"/>
      <c r="K73" s="1"/>
      <c r="L73" s="1"/>
    </row>
    <row r="74" spans="1:12" x14ac:dyDescent="0.25">
      <c r="A74" s="10" t="s">
        <v>429</v>
      </c>
      <c r="B74" s="3" t="s">
        <v>249</v>
      </c>
      <c r="C74" s="3" t="str">
        <f t="shared" si="0"/>
        <v>File/Lot/Sites/Site[Head]</v>
      </c>
      <c r="D74" s="4"/>
      <c r="E74" s="4"/>
      <c r="F74" s="4"/>
      <c r="G74" s="4"/>
      <c r="H74" s="1"/>
      <c r="I74" s="1"/>
      <c r="J74" s="1"/>
      <c r="K74" s="1"/>
      <c r="L74" s="1"/>
    </row>
    <row r="75" spans="1:12" x14ac:dyDescent="0.25">
      <c r="A75" s="10" t="s">
        <v>429</v>
      </c>
      <c r="B75" s="3" t="s">
        <v>242</v>
      </c>
      <c r="C75" s="3" t="str">
        <f t="shared" si="0"/>
        <v>File/Lot/Sites/Site[SiteCount]</v>
      </c>
      <c r="D75" s="4"/>
      <c r="E75" s="4"/>
      <c r="F75" s="4"/>
      <c r="G75" s="4"/>
      <c r="H75" s="1"/>
      <c r="I75" s="1"/>
      <c r="J75" s="1"/>
      <c r="K75" s="1"/>
      <c r="L75" s="1"/>
    </row>
    <row r="76" spans="1:12" x14ac:dyDescent="0.25">
      <c r="A76" s="10" t="s">
        <v>429</v>
      </c>
      <c r="B76" s="3" t="s">
        <v>250</v>
      </c>
      <c r="C76" s="3" t="str">
        <f t="shared" si="0"/>
        <v>File/Lot/Sites/Site[CardId]</v>
      </c>
      <c r="D76" s="3"/>
      <c r="E76" s="3" t="s">
        <v>392</v>
      </c>
      <c r="F76" s="3" t="s">
        <v>292</v>
      </c>
      <c r="G76" s="3"/>
      <c r="H76" s="1" t="s">
        <v>174</v>
      </c>
      <c r="I76" s="1" t="s">
        <v>109</v>
      </c>
      <c r="J76" s="1"/>
      <c r="K76" s="1"/>
      <c r="L76" s="1"/>
    </row>
    <row r="77" spans="1:12" x14ac:dyDescent="0.25">
      <c r="A77" s="10" t="s">
        <v>424</v>
      </c>
      <c r="B77" s="3" t="s">
        <v>32</v>
      </c>
      <c r="C77" s="3" t="str">
        <f t="shared" si="0"/>
        <v>File/Lot/Parameters/Param[TestName]</v>
      </c>
      <c r="D77" s="4"/>
      <c r="E77" s="4"/>
      <c r="F77" s="4" t="s">
        <v>47</v>
      </c>
      <c r="G77" s="4"/>
      <c r="H77" s="1"/>
      <c r="I77" s="1"/>
      <c r="J77" s="1"/>
      <c r="K77" s="1"/>
      <c r="L77" s="1"/>
    </row>
    <row r="78" spans="1:12" x14ac:dyDescent="0.25">
      <c r="A78" s="10" t="s">
        <v>424</v>
      </c>
      <c r="B78" s="3" t="s">
        <v>251</v>
      </c>
      <c r="C78" s="3" t="str">
        <f t="shared" ref="C78:C127" si="4">IF(NOT(ISBLANK(B78)),_xlfn.CONCAT(A78,"[",B78,"]"),"")</f>
        <v>File/Lot/Parameters/Param[HighLimitScale]</v>
      </c>
      <c r="D78" s="4"/>
      <c r="E78" s="4"/>
      <c r="F78" s="4"/>
      <c r="G78" s="4"/>
      <c r="H78" s="1"/>
      <c r="I78" s="1"/>
      <c r="J78" s="1"/>
      <c r="K78" s="1"/>
      <c r="L78" s="1"/>
    </row>
    <row r="79" spans="1:12" x14ac:dyDescent="0.25">
      <c r="A79" s="10" t="s">
        <v>424</v>
      </c>
      <c r="B79" s="3" t="s">
        <v>252</v>
      </c>
      <c r="C79" s="3" t="str">
        <f t="shared" si="4"/>
        <v>File/Lot/Parameters/Param[TestDescription]</v>
      </c>
      <c r="D79" s="4"/>
      <c r="E79" s="4"/>
      <c r="F79" s="4"/>
      <c r="G79" s="4"/>
      <c r="H79" s="1"/>
      <c r="I79" s="1"/>
      <c r="J79" s="1"/>
      <c r="K79" s="1"/>
      <c r="L79" s="1"/>
    </row>
    <row r="80" spans="1:12" x14ac:dyDescent="0.25">
      <c r="A80" s="10" t="s">
        <v>424</v>
      </c>
      <c r="B80" s="3" t="s">
        <v>253</v>
      </c>
      <c r="C80" s="3" t="str">
        <f t="shared" si="4"/>
        <v>File/Lot/Parameters/Param[ResultScale]</v>
      </c>
      <c r="D80" s="4"/>
      <c r="E80" s="4"/>
      <c r="F80" s="4"/>
      <c r="G80" s="4"/>
      <c r="H80" s="1"/>
      <c r="I80" s="1"/>
      <c r="J80" s="1"/>
      <c r="K80" s="1"/>
      <c r="L80" s="1"/>
    </row>
    <row r="81" spans="1:12" x14ac:dyDescent="0.25">
      <c r="A81" s="10" t="s">
        <v>424</v>
      </c>
      <c r="B81" s="3" t="s">
        <v>254</v>
      </c>
      <c r="C81" s="3" t="str">
        <f t="shared" si="4"/>
        <v>File/Lot/Parameters/Param[LowLimitScale]</v>
      </c>
      <c r="D81" s="4"/>
      <c r="E81" s="4"/>
      <c r="F81" s="4"/>
      <c r="G81" s="4"/>
      <c r="H81" s="1"/>
      <c r="I81" s="1"/>
      <c r="J81" s="1"/>
      <c r="K81" s="1"/>
      <c r="L81" s="1"/>
    </row>
    <row r="82" spans="1:12" x14ac:dyDescent="0.25">
      <c r="A82" s="10" t="s">
        <v>424</v>
      </c>
      <c r="B82" s="3" t="s">
        <v>255</v>
      </c>
      <c r="C82" s="3" t="str">
        <f t="shared" si="4"/>
        <v>File/Lot/Parameters/Param[LowLimit]</v>
      </c>
      <c r="D82" s="4"/>
      <c r="E82" s="4"/>
      <c r="F82" s="4"/>
      <c r="G82" s="4"/>
      <c r="H82" s="1"/>
      <c r="I82" s="1"/>
      <c r="J82" s="1"/>
      <c r="K82" s="1"/>
      <c r="L82" s="1"/>
    </row>
    <row r="83" spans="1:12" x14ac:dyDescent="0.25">
      <c r="A83" s="10" t="s">
        <v>424</v>
      </c>
      <c r="B83" s="3" t="s">
        <v>7</v>
      </c>
      <c r="C83" s="3" t="str">
        <f t="shared" si="4"/>
        <v>File/Lot/Parameters/Param[Id]</v>
      </c>
      <c r="D83" s="4"/>
      <c r="E83" s="4"/>
      <c r="F83" s="4"/>
      <c r="G83" s="4"/>
      <c r="H83" s="1"/>
      <c r="I83" s="1"/>
      <c r="J83" s="1"/>
      <c r="K83" s="1"/>
      <c r="L83" s="1"/>
    </row>
    <row r="84" spans="1:12" x14ac:dyDescent="0.25">
      <c r="A84" s="10" t="s">
        <v>424</v>
      </c>
      <c r="B84" s="3" t="s">
        <v>33</v>
      </c>
      <c r="C84" s="3" t="str">
        <f t="shared" si="4"/>
        <v>File/Lot/Parameters/Param[TestNumber]</v>
      </c>
      <c r="D84" s="4"/>
      <c r="E84" s="4"/>
      <c r="F84" s="4" t="s">
        <v>48</v>
      </c>
      <c r="G84" s="4"/>
      <c r="H84" s="1"/>
      <c r="I84" s="1"/>
      <c r="J84" s="1"/>
      <c r="K84" s="1"/>
      <c r="L84" s="1"/>
    </row>
    <row r="85" spans="1:12" x14ac:dyDescent="0.25">
      <c r="A85" s="10" t="s">
        <v>424</v>
      </c>
      <c r="B85" s="3" t="s">
        <v>256</v>
      </c>
      <c r="C85" s="3" t="str">
        <f t="shared" si="4"/>
        <v>File/Lot/Parameters/Param[TestType]</v>
      </c>
      <c r="D85" s="4"/>
      <c r="E85" s="4"/>
      <c r="F85" s="4"/>
      <c r="G85" s="4"/>
      <c r="H85" s="1"/>
      <c r="I85" s="1"/>
      <c r="J85" s="1"/>
      <c r="K85" s="1"/>
      <c r="L85" s="1"/>
    </row>
    <row r="86" spans="1:12" x14ac:dyDescent="0.25">
      <c r="A86" s="10" t="s">
        <v>424</v>
      </c>
      <c r="B86" s="3" t="s">
        <v>257</v>
      </c>
      <c r="C86" s="3" t="str">
        <f t="shared" si="4"/>
        <v>File/Lot/Parameters/Param[HighUnits]</v>
      </c>
      <c r="D86" s="4"/>
      <c r="E86" s="4"/>
      <c r="F86" s="4"/>
      <c r="G86" s="4"/>
      <c r="H86" s="1"/>
      <c r="I86" s="1"/>
      <c r="J86" s="1"/>
      <c r="K86" s="1"/>
      <c r="L86" s="1"/>
    </row>
    <row r="87" spans="1:12" x14ac:dyDescent="0.25">
      <c r="A87" s="10" t="s">
        <v>424</v>
      </c>
      <c r="B87" s="3" t="s">
        <v>34</v>
      </c>
      <c r="C87" s="3" t="str">
        <f t="shared" si="4"/>
        <v>File/Lot/Parameters/Param[Units]</v>
      </c>
      <c r="D87" s="4"/>
      <c r="E87" s="4"/>
      <c r="F87" s="4"/>
      <c r="G87" s="4"/>
      <c r="H87" s="1"/>
      <c r="I87" s="1"/>
      <c r="J87" s="1"/>
      <c r="K87" s="1"/>
      <c r="L87" s="1"/>
    </row>
    <row r="88" spans="1:12" x14ac:dyDescent="0.25">
      <c r="A88" s="10" t="s">
        <v>430</v>
      </c>
      <c r="B88" s="3" t="s">
        <v>46</v>
      </c>
      <c r="C88" s="3" t="str">
        <f t="shared" si="4"/>
        <v>File/Lot/SummaryData/PartInfo/Part[Site]</v>
      </c>
      <c r="D88" s="4"/>
      <c r="E88" s="4"/>
      <c r="F88" s="4"/>
      <c r="G88" s="4"/>
      <c r="H88" s="1"/>
      <c r="I88" s="1"/>
      <c r="J88" s="1"/>
      <c r="K88" s="1"/>
      <c r="L88" s="1"/>
    </row>
    <row r="89" spans="1:12" x14ac:dyDescent="0.25">
      <c r="A89" s="10" t="s">
        <v>430</v>
      </c>
      <c r="B89" s="3" t="s">
        <v>249</v>
      </c>
      <c r="C89" s="3" t="str">
        <f t="shared" si="4"/>
        <v>File/Lot/SummaryData/PartInfo/Part[Head]</v>
      </c>
      <c r="D89" s="4"/>
      <c r="E89" s="4"/>
      <c r="F89" s="4"/>
      <c r="G89" s="4"/>
      <c r="H89" s="1"/>
      <c r="I89" s="1"/>
      <c r="J89" s="1"/>
      <c r="K89" s="1"/>
      <c r="L89" s="1"/>
    </row>
    <row r="90" spans="1:12" x14ac:dyDescent="0.25">
      <c r="A90" s="10" t="s">
        <v>430</v>
      </c>
      <c r="B90" s="3" t="s">
        <v>258</v>
      </c>
      <c r="C90" s="3" t="str">
        <f t="shared" si="4"/>
        <v>File/Lot/SummaryData/PartInfo/Part[GoodCount]</v>
      </c>
      <c r="D90" s="4"/>
      <c r="E90" s="4"/>
      <c r="F90" s="4"/>
      <c r="G90" s="4"/>
      <c r="H90" s="1"/>
      <c r="I90" s="1"/>
      <c r="J90" s="1"/>
      <c r="K90" s="1"/>
      <c r="L90" s="1"/>
    </row>
    <row r="91" spans="1:12" x14ac:dyDescent="0.25">
      <c r="A91" s="10" t="s">
        <v>430</v>
      </c>
      <c r="B91" s="3" t="s">
        <v>259</v>
      </c>
      <c r="C91" s="3" t="str">
        <f t="shared" si="4"/>
        <v>File/Lot/SummaryData/PartInfo/Part[PartCount]</v>
      </c>
      <c r="D91" s="4"/>
      <c r="E91" s="4"/>
      <c r="F91" s="4"/>
      <c r="G91" s="4"/>
      <c r="H91" s="1"/>
      <c r="I91" s="1"/>
      <c r="J91" s="1"/>
      <c r="K91" s="1"/>
      <c r="L91" s="1"/>
    </row>
    <row r="92" spans="1:12" x14ac:dyDescent="0.25">
      <c r="A92" s="10" t="s">
        <v>430</v>
      </c>
      <c r="B92" s="3" t="s">
        <v>260</v>
      </c>
      <c r="C92" s="3" t="str">
        <f t="shared" si="4"/>
        <v>File/Lot/SummaryData/PartInfo/Part[RetestCount]</v>
      </c>
      <c r="D92" s="4"/>
      <c r="E92" s="4"/>
      <c r="F92" s="4"/>
      <c r="G92" s="4"/>
      <c r="H92" s="1"/>
      <c r="I92" s="1"/>
      <c r="J92" s="1"/>
      <c r="K92" s="1"/>
      <c r="L92" s="1"/>
    </row>
    <row r="93" spans="1:12" x14ac:dyDescent="0.25">
      <c r="A93" s="10" t="s">
        <v>426</v>
      </c>
      <c r="B93" s="3" t="s">
        <v>46</v>
      </c>
      <c r="C93" s="3" t="str">
        <f t="shared" si="4"/>
        <v>File/Lot/SummaryData/BinInfo/Bin[Site]</v>
      </c>
      <c r="D93" s="4"/>
      <c r="E93" s="4" t="s">
        <v>409</v>
      </c>
      <c r="F93" s="4"/>
      <c r="G93" s="4"/>
      <c r="H93" s="1"/>
      <c r="I93" s="1"/>
      <c r="J93" s="1"/>
      <c r="K93" s="1"/>
      <c r="L93" s="1"/>
    </row>
    <row r="94" spans="1:12" x14ac:dyDescent="0.25">
      <c r="A94" s="10" t="s">
        <v>426</v>
      </c>
      <c r="B94" s="3" t="s">
        <v>249</v>
      </c>
      <c r="C94" s="3" t="str">
        <f t="shared" si="4"/>
        <v>File/Lot/SummaryData/BinInfo/Bin[Head]</v>
      </c>
      <c r="D94" s="4"/>
      <c r="E94" s="4" t="s">
        <v>408</v>
      </c>
      <c r="F94" s="4"/>
      <c r="G94" s="4"/>
      <c r="H94" s="1"/>
      <c r="I94" s="1"/>
      <c r="J94" s="1"/>
      <c r="K94" s="1"/>
      <c r="L94" s="1"/>
    </row>
    <row r="95" spans="1:12" x14ac:dyDescent="0.25">
      <c r="A95" s="10" t="s">
        <v>426</v>
      </c>
      <c r="B95" s="3" t="s">
        <v>45</v>
      </c>
      <c r="C95" s="3" t="str">
        <f t="shared" si="4"/>
        <v>File/Lot/SummaryData/BinInfo/Bin[PassFail]</v>
      </c>
      <c r="D95" s="4"/>
      <c r="E95" s="4" t="s">
        <v>410</v>
      </c>
      <c r="F95" s="4"/>
      <c r="G95" s="4"/>
      <c r="H95" s="1"/>
      <c r="I95" s="1"/>
      <c r="J95" s="1"/>
      <c r="K95" s="1"/>
      <c r="L95" s="1"/>
    </row>
    <row r="96" spans="1:12" x14ac:dyDescent="0.25">
      <c r="A96" s="10" t="s">
        <v>426</v>
      </c>
      <c r="B96" s="3" t="s">
        <v>44</v>
      </c>
      <c r="C96" s="3" t="str">
        <f t="shared" si="4"/>
        <v>File/Lot/SummaryData/BinInfo/Bin[Type]</v>
      </c>
      <c r="D96" s="4"/>
      <c r="E96" s="4"/>
      <c r="F96" s="4"/>
      <c r="G96" s="4"/>
      <c r="H96" s="1"/>
      <c r="I96" s="1"/>
      <c r="J96" s="1"/>
      <c r="K96" s="1"/>
      <c r="L96" s="1"/>
    </row>
    <row r="97" spans="1:12" x14ac:dyDescent="0.25">
      <c r="A97" s="10" t="s">
        <v>426</v>
      </c>
      <c r="B97" s="3" t="s">
        <v>43</v>
      </c>
      <c r="C97" s="3" t="str">
        <f t="shared" si="4"/>
        <v>File/Lot/SummaryData/BinInfo/Bin[Number]</v>
      </c>
      <c r="D97" s="4"/>
      <c r="E97" s="4" t="s">
        <v>411</v>
      </c>
      <c r="F97" s="4"/>
      <c r="G97" s="4"/>
      <c r="H97" s="1"/>
      <c r="I97" s="1"/>
      <c r="J97" s="1"/>
      <c r="K97" s="1"/>
      <c r="L97" s="1"/>
    </row>
    <row r="98" spans="1:12" x14ac:dyDescent="0.25">
      <c r="A98" s="10" t="s">
        <v>426</v>
      </c>
      <c r="B98" s="3" t="s">
        <v>261</v>
      </c>
      <c r="C98" s="3" t="str">
        <f t="shared" si="4"/>
        <v>File/Lot/SummaryData/BinInfo/Bin[Count]</v>
      </c>
      <c r="D98" s="4"/>
      <c r="E98" s="4" t="s">
        <v>412</v>
      </c>
      <c r="F98" s="4"/>
      <c r="G98" s="4"/>
      <c r="H98" s="1"/>
      <c r="I98" s="1"/>
      <c r="J98" s="1"/>
      <c r="K98" s="1"/>
      <c r="L98" s="1"/>
    </row>
    <row r="99" spans="1:12" x14ac:dyDescent="0.25">
      <c r="A99" s="10" t="s">
        <v>426</v>
      </c>
      <c r="B99" s="3" t="s">
        <v>42</v>
      </c>
      <c r="C99" s="3" t="str">
        <f t="shared" si="4"/>
        <v>File/Lot/SummaryData/BinInfo/Bin[Name]</v>
      </c>
      <c r="D99" s="4"/>
      <c r="E99" s="4" t="s">
        <v>413</v>
      </c>
      <c r="F99" s="4"/>
      <c r="G99" s="4"/>
      <c r="H99" s="1"/>
      <c r="I99" s="1"/>
      <c r="J99" s="1"/>
      <c r="K99" s="1"/>
      <c r="L99" s="1"/>
    </row>
    <row r="100" spans="1:12" x14ac:dyDescent="0.25">
      <c r="A100" s="10" t="s">
        <v>431</v>
      </c>
      <c r="B100" s="3" t="s">
        <v>46</v>
      </c>
      <c r="C100" s="3" t="str">
        <f t="shared" si="4"/>
        <v>File/Lot/SummaryData/TestInfo/Test[Site]</v>
      </c>
      <c r="D100" s="4"/>
      <c r="E100" s="4"/>
      <c r="F100" s="4"/>
      <c r="G100" s="4"/>
      <c r="H100" s="1"/>
      <c r="I100" s="1"/>
      <c r="J100" s="1"/>
      <c r="K100" s="1"/>
      <c r="L100" s="1"/>
    </row>
    <row r="101" spans="1:12" x14ac:dyDescent="0.25">
      <c r="A101" s="10" t="s">
        <v>431</v>
      </c>
      <c r="B101" s="3" t="s">
        <v>262</v>
      </c>
      <c r="C101" s="3" t="str">
        <f t="shared" si="4"/>
        <v>File/Lot/SummaryData/TestInfo/Test[TestSumValue]</v>
      </c>
      <c r="D101" s="4"/>
      <c r="E101" s="4"/>
      <c r="F101" s="4"/>
      <c r="G101" s="4"/>
      <c r="H101" s="1"/>
      <c r="I101" s="1"/>
      <c r="J101" s="1"/>
      <c r="K101" s="1"/>
      <c r="L101" s="1"/>
    </row>
    <row r="102" spans="1:12" x14ac:dyDescent="0.25">
      <c r="A102" s="10" t="s">
        <v>431</v>
      </c>
      <c r="B102" s="3" t="s">
        <v>249</v>
      </c>
      <c r="C102" s="3" t="str">
        <f t="shared" si="4"/>
        <v>File/Lot/SummaryData/TestInfo/Test[Head]</v>
      </c>
      <c r="D102" s="4"/>
      <c r="E102" s="4"/>
      <c r="F102" s="4"/>
      <c r="G102" s="4"/>
      <c r="H102" s="1"/>
      <c r="I102" s="1"/>
      <c r="J102" s="1"/>
      <c r="K102" s="1"/>
      <c r="L102" s="1"/>
    </row>
    <row r="103" spans="1:12" x14ac:dyDescent="0.25">
      <c r="A103" s="10" t="s">
        <v>431</v>
      </c>
      <c r="B103" s="3" t="s">
        <v>263</v>
      </c>
      <c r="C103" s="3" t="str">
        <f t="shared" si="4"/>
        <v>File/Lot/SummaryData/TestInfo/Test[ExecutionCount]</v>
      </c>
      <c r="D103" s="4"/>
      <c r="E103" s="4"/>
      <c r="F103" s="4"/>
      <c r="G103" s="4"/>
      <c r="H103" s="1"/>
      <c r="I103" s="1"/>
      <c r="J103" s="1"/>
      <c r="K103" s="1"/>
      <c r="L103" s="1"/>
    </row>
    <row r="104" spans="1:12" x14ac:dyDescent="0.25">
      <c r="A104" s="10" t="s">
        <v>431</v>
      </c>
      <c r="B104" s="3" t="s">
        <v>264</v>
      </c>
      <c r="C104" s="3" t="str">
        <f t="shared" si="4"/>
        <v>File/Lot/SummaryData/TestInfo/Test[TestAvgTime]</v>
      </c>
      <c r="D104" s="4"/>
      <c r="E104" s="4"/>
      <c r="F104" s="4"/>
      <c r="G104" s="4"/>
      <c r="H104" s="1"/>
      <c r="I104" s="1"/>
      <c r="J104" s="1"/>
      <c r="K104" s="1"/>
      <c r="L104" s="1"/>
    </row>
    <row r="105" spans="1:12" x14ac:dyDescent="0.25">
      <c r="A105" s="10" t="s">
        <v>431</v>
      </c>
      <c r="B105" s="3" t="s">
        <v>265</v>
      </c>
      <c r="C105" s="3" t="str">
        <f t="shared" si="4"/>
        <v>File/Lot/SummaryData/TestInfo/Test[TestMaxValue]</v>
      </c>
      <c r="D105" s="4"/>
      <c r="E105" s="4"/>
      <c r="F105" s="4"/>
      <c r="G105" s="4"/>
      <c r="H105" s="1"/>
      <c r="I105" s="1"/>
      <c r="J105" s="1"/>
      <c r="K105" s="1"/>
      <c r="L105" s="1"/>
    </row>
    <row r="106" spans="1:12" x14ac:dyDescent="0.25">
      <c r="A106" s="10" t="s">
        <v>431</v>
      </c>
      <c r="B106" s="3" t="s">
        <v>267</v>
      </c>
      <c r="C106" s="3" t="str">
        <f t="shared" si="4"/>
        <v>File/Lot/SummaryData/TestInfo/Test[FailCount]</v>
      </c>
      <c r="D106" s="4"/>
      <c r="E106" s="4"/>
      <c r="F106" s="4"/>
      <c r="G106" s="4"/>
      <c r="H106" s="1"/>
      <c r="I106" s="1"/>
      <c r="J106" s="1"/>
      <c r="K106" s="1"/>
      <c r="L106" s="1"/>
    </row>
    <row r="107" spans="1:12" x14ac:dyDescent="0.25">
      <c r="A107" s="10" t="s">
        <v>431</v>
      </c>
      <c r="B107" s="3" t="s">
        <v>268</v>
      </c>
      <c r="C107" s="3" t="str">
        <f t="shared" si="4"/>
        <v>File/Lot/SummaryData/TestInfo/Test[TestMinValue]</v>
      </c>
      <c r="D107" s="4"/>
      <c r="E107" s="4"/>
      <c r="F107" s="4"/>
      <c r="G107" s="4"/>
      <c r="H107" s="1"/>
      <c r="I107" s="1"/>
      <c r="J107" s="1"/>
      <c r="K107" s="1"/>
      <c r="L107" s="1"/>
    </row>
    <row r="108" spans="1:12" x14ac:dyDescent="0.25">
      <c r="A108" s="10" t="s">
        <v>431</v>
      </c>
      <c r="B108" s="3" t="s">
        <v>269</v>
      </c>
      <c r="C108" s="3" t="str">
        <f t="shared" si="4"/>
        <v>File/Lot/SummaryData/TestInfo/Test[PmId]</v>
      </c>
      <c r="D108" s="4"/>
      <c r="E108" s="4"/>
      <c r="F108" s="4"/>
      <c r="G108" s="4"/>
      <c r="H108" s="1"/>
      <c r="I108" s="1"/>
      <c r="J108" s="1"/>
      <c r="K108" s="1"/>
      <c r="L108" s="1"/>
    </row>
    <row r="109" spans="1:12" x14ac:dyDescent="0.25">
      <c r="A109" s="10" t="s">
        <v>423</v>
      </c>
      <c r="B109" s="3" t="s">
        <v>249</v>
      </c>
      <c r="C109" s="3" t="str">
        <f t="shared" si="4"/>
        <v>File/Lot/Wafer[Head]</v>
      </c>
      <c r="D109" s="4"/>
      <c r="E109" s="4"/>
      <c r="F109" s="4"/>
      <c r="G109" s="4"/>
      <c r="H109" s="1"/>
      <c r="I109" s="1"/>
      <c r="J109" s="1"/>
      <c r="K109" s="1"/>
      <c r="L109" s="1"/>
    </row>
    <row r="110" spans="1:12" x14ac:dyDescent="0.25">
      <c r="A110" s="10" t="s">
        <v>423</v>
      </c>
      <c r="B110" s="3" t="s">
        <v>20</v>
      </c>
      <c r="C110" s="3" t="str">
        <f t="shared" si="4"/>
        <v>File/Lot/Wafer[FinishTime]</v>
      </c>
      <c r="D110" s="4"/>
      <c r="E110" s="4"/>
      <c r="F110" s="4"/>
      <c r="G110" s="4"/>
      <c r="H110" s="1"/>
      <c r="I110" s="1"/>
      <c r="J110" s="1"/>
      <c r="K110" s="1"/>
      <c r="L110" s="1"/>
    </row>
    <row r="111" spans="1:12" x14ac:dyDescent="0.25">
      <c r="A111" s="10" t="s">
        <v>423</v>
      </c>
      <c r="B111" s="3" t="s">
        <v>30</v>
      </c>
      <c r="C111" s="3" t="str">
        <f t="shared" si="4"/>
        <v>File/Lot/Wafer[WaferId]</v>
      </c>
      <c r="D111" s="3" t="s">
        <v>505</v>
      </c>
      <c r="E111" s="3"/>
      <c r="F111" s="3" t="s">
        <v>158</v>
      </c>
      <c r="G111" s="3"/>
      <c r="H111" s="1" t="s">
        <v>31</v>
      </c>
      <c r="I111" s="1"/>
      <c r="J111" s="1"/>
      <c r="K111" s="1"/>
      <c r="L111" s="1"/>
    </row>
    <row r="112" spans="1:12" x14ac:dyDescent="0.25">
      <c r="A112" s="10" t="s">
        <v>423</v>
      </c>
      <c r="B112" s="3" t="s">
        <v>19</v>
      </c>
      <c r="C112" s="3" t="str">
        <f t="shared" si="4"/>
        <v>File/Lot/Wafer[StartTime]</v>
      </c>
      <c r="D112" s="4"/>
      <c r="E112" s="4"/>
      <c r="F112" s="4"/>
      <c r="G112" s="4"/>
      <c r="H112" s="1"/>
      <c r="I112" s="1"/>
      <c r="J112" s="1"/>
      <c r="K112" s="1"/>
      <c r="L112" s="1"/>
    </row>
    <row r="113" spans="1:12" x14ac:dyDescent="0.25">
      <c r="A113" s="10" t="s">
        <v>423</v>
      </c>
      <c r="B113" s="3" t="s">
        <v>258</v>
      </c>
      <c r="C113" s="3" t="str">
        <f t="shared" si="4"/>
        <v>File/Lot/Wafer[GoodCount]</v>
      </c>
      <c r="D113" s="4"/>
      <c r="E113" s="4"/>
      <c r="F113" s="4"/>
      <c r="G113" s="4"/>
      <c r="H113" s="1"/>
      <c r="I113" s="1"/>
      <c r="J113" s="1"/>
      <c r="K113" s="1"/>
      <c r="L113" s="1"/>
    </row>
    <row r="114" spans="1:12" x14ac:dyDescent="0.25">
      <c r="A114" s="10" t="s">
        <v>423</v>
      </c>
      <c r="B114" s="3" t="s">
        <v>259</v>
      </c>
      <c r="C114" s="3" t="str">
        <f t="shared" si="4"/>
        <v>File/Lot/Wafer[PartCount]</v>
      </c>
      <c r="D114" s="4"/>
      <c r="E114" s="4"/>
      <c r="F114" s="4"/>
      <c r="G114" s="4"/>
      <c r="H114" s="1"/>
      <c r="I114" s="1"/>
      <c r="J114" s="1"/>
      <c r="K114" s="1"/>
      <c r="L114" s="1"/>
    </row>
    <row r="115" spans="1:12" x14ac:dyDescent="0.25">
      <c r="A115" s="10" t="s">
        <v>423</v>
      </c>
      <c r="B115" s="3" t="s">
        <v>260</v>
      </c>
      <c r="C115" s="3" t="str">
        <f t="shared" si="4"/>
        <v>File/Lot/Wafer[RetestCount]</v>
      </c>
      <c r="D115" s="4"/>
      <c r="E115" s="4"/>
      <c r="F115" s="4"/>
      <c r="G115" s="4"/>
      <c r="H115" s="1"/>
      <c r="I115" s="1"/>
      <c r="J115" s="1"/>
      <c r="K115" s="1"/>
      <c r="L115" s="1"/>
    </row>
    <row r="116" spans="1:12" x14ac:dyDescent="0.25">
      <c r="A116" s="11" t="s">
        <v>425</v>
      </c>
      <c r="B116" s="3" t="s">
        <v>46</v>
      </c>
      <c r="C116" s="3" t="str">
        <f t="shared" si="4"/>
        <v>File/Lot/Wafer/ParametricData/Unit[Site]</v>
      </c>
      <c r="D116" s="3"/>
      <c r="E116" s="3"/>
      <c r="F116" s="3" t="s">
        <v>198</v>
      </c>
      <c r="G116" s="3"/>
      <c r="H116" s="1" t="s">
        <v>41</v>
      </c>
      <c r="I116" s="1"/>
      <c r="J116" s="1"/>
      <c r="K116" s="1"/>
      <c r="L116" s="1"/>
    </row>
    <row r="117" spans="1:12" x14ac:dyDescent="0.25">
      <c r="A117" s="11" t="s">
        <v>425</v>
      </c>
      <c r="B117" s="3" t="s">
        <v>270</v>
      </c>
      <c r="C117" s="3" t="str">
        <f t="shared" si="4"/>
        <v>File/Lot/Wafer/ParametricData/Unit[TestTime]</v>
      </c>
      <c r="D117" s="4"/>
      <c r="E117" s="4"/>
      <c r="F117" s="4"/>
      <c r="G117" s="4"/>
      <c r="H117" s="1"/>
      <c r="I117" s="1"/>
      <c r="J117" s="1"/>
      <c r="K117" s="1"/>
      <c r="L117" s="1"/>
    </row>
    <row r="118" spans="1:12" x14ac:dyDescent="0.25">
      <c r="A118" s="11" t="s">
        <v>425</v>
      </c>
      <c r="B118" s="3" t="s">
        <v>249</v>
      </c>
      <c r="C118" s="3" t="str">
        <f t="shared" si="4"/>
        <v>File/Lot/Wafer/ParametricData/Unit[Head]</v>
      </c>
      <c r="D118" s="4"/>
      <c r="E118" s="4"/>
      <c r="F118" s="4"/>
      <c r="G118" s="4"/>
      <c r="H118" s="1"/>
      <c r="I118" s="1"/>
      <c r="J118" s="1"/>
      <c r="K118" s="1"/>
      <c r="L118" s="1"/>
    </row>
    <row r="119" spans="1:12" x14ac:dyDescent="0.25">
      <c r="A119" s="11" t="s">
        <v>425</v>
      </c>
      <c r="B119" s="3" t="s">
        <v>271</v>
      </c>
      <c r="C119" s="3" t="str">
        <f t="shared" si="4"/>
        <v>File/Lot/Wafer/ParametricData/Unit[TestCount]</v>
      </c>
      <c r="D119" s="4"/>
      <c r="E119" s="4"/>
      <c r="F119" s="4"/>
      <c r="G119" s="4"/>
      <c r="H119" s="1"/>
      <c r="I119" s="1"/>
      <c r="J119" s="1"/>
      <c r="K119" s="1"/>
      <c r="L119" s="1"/>
    </row>
    <row r="120" spans="1:12" x14ac:dyDescent="0.25">
      <c r="A120" s="11" t="s">
        <v>425</v>
      </c>
      <c r="B120" s="3" t="s">
        <v>36</v>
      </c>
      <c r="C120" s="3" t="str">
        <f t="shared" si="4"/>
        <v>File/Lot/Wafer/ParametricData/Unit[HardBin]</v>
      </c>
      <c r="D120" s="3"/>
      <c r="E120" s="3"/>
      <c r="F120" s="3" t="s">
        <v>207</v>
      </c>
      <c r="G120" s="3"/>
      <c r="H120" s="1" t="s">
        <v>39</v>
      </c>
      <c r="I120" s="1" t="s">
        <v>312</v>
      </c>
      <c r="J120" s="1" t="s">
        <v>313</v>
      </c>
      <c r="K120" s="1"/>
      <c r="L120" s="1"/>
    </row>
    <row r="121" spans="1:12" x14ac:dyDescent="0.25">
      <c r="A121" s="10" t="s">
        <v>425</v>
      </c>
      <c r="B121" s="3" t="s">
        <v>35</v>
      </c>
      <c r="C121" s="3" t="str">
        <f t="shared" si="4"/>
        <v>File/Lot/Wafer/ParametricData/Unit[X]</v>
      </c>
      <c r="D121" s="4"/>
      <c r="E121" s="4"/>
      <c r="F121" s="4" t="s">
        <v>205</v>
      </c>
      <c r="G121" s="4"/>
      <c r="H121" s="1" t="s">
        <v>38</v>
      </c>
      <c r="I121" s="1" t="s">
        <v>312</v>
      </c>
      <c r="J121" s="1" t="s">
        <v>314</v>
      </c>
      <c r="K121" s="1"/>
      <c r="L121" s="1"/>
    </row>
    <row r="122" spans="1:12" x14ac:dyDescent="0.25">
      <c r="A122" s="10" t="s">
        <v>425</v>
      </c>
      <c r="B122" s="3" t="s">
        <v>0</v>
      </c>
      <c r="C122" s="3" t="str">
        <f t="shared" si="4"/>
        <v>File/Lot/Wafer/ParametricData/Unit[Y]</v>
      </c>
      <c r="D122" s="4"/>
      <c r="E122" s="4"/>
      <c r="F122" s="4" t="s">
        <v>205</v>
      </c>
      <c r="G122" s="4"/>
      <c r="H122" s="1" t="s">
        <v>38</v>
      </c>
      <c r="I122" s="1" t="s">
        <v>312</v>
      </c>
      <c r="J122" s="1" t="s">
        <v>314</v>
      </c>
      <c r="K122" s="1"/>
      <c r="L122" s="1"/>
    </row>
    <row r="123" spans="1:12" x14ac:dyDescent="0.25">
      <c r="A123" s="10" t="s">
        <v>425</v>
      </c>
      <c r="B123" s="3" t="s">
        <v>272</v>
      </c>
      <c r="C123" s="3" t="str">
        <f t="shared" si="4"/>
        <v>File/Lot/Wafer/ParametricData/Unit[PartId]</v>
      </c>
      <c r="D123" s="4"/>
      <c r="E123" s="4"/>
      <c r="F123" s="4"/>
      <c r="G123" s="4"/>
      <c r="H123" s="1"/>
      <c r="I123" s="1"/>
      <c r="J123" s="1"/>
      <c r="K123" s="1"/>
      <c r="L123" s="1"/>
    </row>
    <row r="124" spans="1:12" x14ac:dyDescent="0.25">
      <c r="A124" s="11" t="s">
        <v>425</v>
      </c>
      <c r="B124" s="3" t="s">
        <v>37</v>
      </c>
      <c r="C124" s="3" t="str">
        <f t="shared" si="4"/>
        <v>File/Lot/Wafer/ParametricData/Unit[SoftBin]</v>
      </c>
      <c r="D124" s="3"/>
      <c r="E124" s="3"/>
      <c r="F124" s="3" t="s">
        <v>208</v>
      </c>
      <c r="G124" s="3"/>
      <c r="H124" s="1" t="s">
        <v>40</v>
      </c>
      <c r="I124" s="1" t="s">
        <v>312</v>
      </c>
      <c r="J124" s="1" t="s">
        <v>313</v>
      </c>
      <c r="K124" s="1"/>
      <c r="L124" s="1"/>
    </row>
    <row r="125" spans="1:12" x14ac:dyDescent="0.25">
      <c r="A125" s="11" t="s">
        <v>425</v>
      </c>
      <c r="B125" s="3" t="s">
        <v>273</v>
      </c>
      <c r="C125" s="3" t="str">
        <f t="shared" si="4"/>
        <v>File/Lot/Wafer/ParametricData/Unit[Val]</v>
      </c>
      <c r="D125" s="4"/>
      <c r="E125" s="4"/>
      <c r="F125" s="4"/>
      <c r="G125" s="4"/>
      <c r="H125" s="1"/>
      <c r="I125" s="1"/>
      <c r="J125" s="1"/>
      <c r="K125" s="1"/>
      <c r="L125" s="1"/>
    </row>
    <row r="126" spans="1:12" x14ac:dyDescent="0.25">
      <c r="A126" s="11" t="s">
        <v>425</v>
      </c>
      <c r="B126" s="3" t="s">
        <v>274</v>
      </c>
      <c r="C126" s="3" t="str">
        <f t="shared" si="4"/>
        <v>File/Lot/Wafer/ParametricData/Unit[PF]</v>
      </c>
      <c r="D126" s="4"/>
      <c r="E126" s="4"/>
      <c r="F126" s="4"/>
      <c r="G126" s="4"/>
      <c r="H126" s="1"/>
      <c r="I126" s="1"/>
      <c r="J126" s="1"/>
      <c r="K126" s="1"/>
      <c r="L126" s="1"/>
    </row>
    <row r="127" spans="1:12" x14ac:dyDescent="0.25">
      <c r="A127" s="11" t="s">
        <v>425</v>
      </c>
      <c r="B127" s="3" t="s">
        <v>269</v>
      </c>
      <c r="C127" s="3" t="str">
        <f t="shared" si="4"/>
        <v>File/Lot/Wafer/ParametricData/Unit[PmId]</v>
      </c>
      <c r="D127" s="4"/>
      <c r="E127" s="4"/>
      <c r="F127" s="4"/>
      <c r="G127" s="4"/>
      <c r="H127" s="1"/>
      <c r="I127" s="1"/>
      <c r="J127" s="1"/>
      <c r="K127" s="1"/>
      <c r="L127" s="1"/>
    </row>
    <row r="128" spans="1:12" x14ac:dyDescent="0.25">
      <c r="A128" s="11"/>
      <c r="B128" s="1" t="s">
        <v>13</v>
      </c>
      <c r="C128" s="3" t="str">
        <f>IF(NOT(ISBLANK(B128)),_xlfn.CONCAT(A128,"[",B128,"]"),"")</f>
        <v>[Program Group]</v>
      </c>
      <c r="D128" s="3" t="s">
        <v>493</v>
      </c>
      <c r="E128" s="3"/>
      <c r="F128" s="1" t="s">
        <v>13</v>
      </c>
      <c r="G128" s="1"/>
      <c r="H128" s="1" t="s">
        <v>16</v>
      </c>
      <c r="I128" s="1"/>
      <c r="J128" s="1"/>
      <c r="K128" s="1"/>
      <c r="L128" s="1" t="s">
        <v>339</v>
      </c>
    </row>
    <row r="129" spans="1:12" x14ac:dyDescent="0.25">
      <c r="A129" s="10"/>
      <c r="B129" s="3" t="s">
        <v>52</v>
      </c>
      <c r="C129" s="3" t="str">
        <f t="shared" ref="C129:C169" si="5">IF(NOT(ISBLANK(B129)),_xlfn.CONCAT(A129,"[",B129,"]"),"")</f>
        <v>[Area]</v>
      </c>
      <c r="D129" s="3"/>
      <c r="E129" s="3"/>
      <c r="F129" s="3" t="s">
        <v>52</v>
      </c>
      <c r="G129" s="3"/>
      <c r="H129" s="1" t="s">
        <v>455</v>
      </c>
      <c r="I129" s="1" t="s">
        <v>53</v>
      </c>
      <c r="J129" s="1"/>
      <c r="K129" s="1"/>
      <c r="L129" s="1" t="s">
        <v>275</v>
      </c>
    </row>
    <row r="130" spans="1:12" x14ac:dyDescent="0.25">
      <c r="A130" s="10"/>
      <c r="B130" s="3" t="s">
        <v>276</v>
      </c>
      <c r="C130" s="3" t="str">
        <f>IF(NOT(ISBLANK(B130)),_xlfn.CONCAT(A130,"[",B130,"]"),"")</f>
        <v>[Reticle Id]</v>
      </c>
      <c r="D130" s="4"/>
      <c r="E130" s="4"/>
      <c r="F130" s="4" t="s">
        <v>319</v>
      </c>
      <c r="G130" s="4"/>
      <c r="H130" s="1" t="s">
        <v>325</v>
      </c>
      <c r="I130" s="1" t="s">
        <v>312</v>
      </c>
      <c r="J130" s="1" t="s">
        <v>313</v>
      </c>
      <c r="K130" s="1" t="s">
        <v>321</v>
      </c>
      <c r="L130" s="1" t="s">
        <v>324</v>
      </c>
    </row>
    <row r="131" spans="1:12" x14ac:dyDescent="0.25">
      <c r="A131" s="10"/>
      <c r="B131" s="3"/>
      <c r="C131" s="3" t="str">
        <f t="shared" si="5"/>
        <v/>
      </c>
      <c r="D131" s="3"/>
      <c r="E131" s="3"/>
      <c r="F131" s="3" t="s">
        <v>162</v>
      </c>
      <c r="G131" s="3"/>
      <c r="H131" s="1"/>
      <c r="I131" s="1"/>
      <c r="J131" s="1"/>
      <c r="K131" s="1"/>
      <c r="L131" s="1"/>
    </row>
    <row r="132" spans="1:12" x14ac:dyDescent="0.25">
      <c r="A132" s="10"/>
      <c r="B132" s="3"/>
      <c r="C132" s="3" t="str">
        <f t="shared" si="5"/>
        <v/>
      </c>
      <c r="D132" s="3"/>
      <c r="E132" s="3"/>
      <c r="F132" s="3" t="s">
        <v>163</v>
      </c>
      <c r="G132" s="3"/>
      <c r="H132" s="1"/>
      <c r="I132" s="1"/>
      <c r="J132" s="1"/>
      <c r="K132" s="1"/>
      <c r="L132" s="1"/>
    </row>
    <row r="133" spans="1:12" x14ac:dyDescent="0.25">
      <c r="A133" s="10"/>
      <c r="B133" s="3"/>
      <c r="C133" s="3" t="str">
        <f t="shared" si="5"/>
        <v/>
      </c>
      <c r="D133" s="3"/>
      <c r="E133" s="3"/>
      <c r="F133" s="3"/>
      <c r="G133" s="3"/>
      <c r="H133" s="1"/>
      <c r="I133" s="1"/>
      <c r="J133" s="1"/>
      <c r="K133" s="1"/>
      <c r="L133" s="1"/>
    </row>
    <row r="134" spans="1:12" x14ac:dyDescent="0.25">
      <c r="A134" s="10"/>
      <c r="B134" s="3"/>
      <c r="C134" s="3" t="str">
        <f t="shared" si="5"/>
        <v/>
      </c>
      <c r="D134" s="3"/>
      <c r="E134" s="3"/>
      <c r="F134" s="3" t="s">
        <v>164</v>
      </c>
      <c r="G134" s="3"/>
      <c r="H134" s="1"/>
      <c r="I134" s="1"/>
      <c r="J134" s="1"/>
      <c r="K134" s="1"/>
      <c r="L134" s="1"/>
    </row>
    <row r="135" spans="1:12" x14ac:dyDescent="0.25">
      <c r="A135" s="10"/>
      <c r="B135" s="3"/>
      <c r="C135" s="3" t="str">
        <f t="shared" si="5"/>
        <v/>
      </c>
      <c r="D135" s="3" t="s">
        <v>486</v>
      </c>
      <c r="E135" s="3"/>
      <c r="F135" s="3" t="s">
        <v>69</v>
      </c>
      <c r="G135" s="3"/>
      <c r="H135" s="1" t="s">
        <v>165</v>
      </c>
      <c r="I135" s="1"/>
      <c r="J135" s="1"/>
      <c r="K135" s="1"/>
      <c r="L135" s="1"/>
    </row>
    <row r="136" spans="1:12" x14ac:dyDescent="0.25">
      <c r="A136" s="10"/>
      <c r="B136" s="3"/>
      <c r="C136" s="3" t="str">
        <f t="shared" si="5"/>
        <v/>
      </c>
      <c r="D136" s="3" t="s">
        <v>72</v>
      </c>
      <c r="E136" s="3"/>
      <c r="F136" s="3" t="s">
        <v>72</v>
      </c>
      <c r="G136" s="3"/>
      <c r="H136" s="1" t="s">
        <v>74</v>
      </c>
      <c r="I136" s="1"/>
      <c r="J136" s="1"/>
      <c r="K136" s="1"/>
      <c r="L136" s="1"/>
    </row>
    <row r="137" spans="1:12" x14ac:dyDescent="0.25">
      <c r="A137" s="10"/>
      <c r="B137" s="3"/>
      <c r="C137" s="3" t="str">
        <f t="shared" si="5"/>
        <v/>
      </c>
      <c r="D137" s="3" t="s">
        <v>75</v>
      </c>
      <c r="E137" s="3"/>
      <c r="F137" s="3" t="s">
        <v>75</v>
      </c>
      <c r="G137" s="3"/>
      <c r="H137" s="1" t="s">
        <v>77</v>
      </c>
      <c r="I137" s="1"/>
      <c r="J137" s="1"/>
      <c r="K137" s="1"/>
      <c r="L137" s="1"/>
    </row>
    <row r="138" spans="1:12" x14ac:dyDescent="0.25">
      <c r="A138" s="10"/>
      <c r="B138" s="3"/>
      <c r="C138" s="3" t="str">
        <f t="shared" si="5"/>
        <v/>
      </c>
      <c r="D138" s="3" t="s">
        <v>30</v>
      </c>
      <c r="E138" s="3"/>
      <c r="F138" s="3" t="s">
        <v>87</v>
      </c>
      <c r="G138" s="3"/>
      <c r="H138" s="1" t="s">
        <v>166</v>
      </c>
      <c r="I138" s="1"/>
      <c r="J138" s="1"/>
      <c r="K138" s="1"/>
      <c r="L138" s="1"/>
    </row>
    <row r="139" spans="1:12" x14ac:dyDescent="0.25">
      <c r="A139" s="10"/>
      <c r="B139" s="3"/>
      <c r="C139" s="3" t="str">
        <f t="shared" si="5"/>
        <v/>
      </c>
      <c r="D139" s="3" t="s">
        <v>496</v>
      </c>
      <c r="E139" s="3"/>
      <c r="F139" s="3" t="s">
        <v>95</v>
      </c>
      <c r="G139" s="3"/>
      <c r="H139" s="1" t="s">
        <v>97</v>
      </c>
      <c r="I139" s="1"/>
      <c r="J139" s="1"/>
      <c r="K139" s="1"/>
      <c r="L139" s="1"/>
    </row>
    <row r="140" spans="1:12" x14ac:dyDescent="0.25">
      <c r="A140" s="10" t="s">
        <v>422</v>
      </c>
      <c r="B140" s="3" t="s">
        <v>289</v>
      </c>
      <c r="C140" s="3" t="str">
        <f t="shared" si="5"/>
        <v>File/Lot[Tester/Tool ID]</v>
      </c>
      <c r="D140" s="3" t="s">
        <v>488</v>
      </c>
      <c r="E140" s="3"/>
      <c r="F140" s="3" t="s">
        <v>289</v>
      </c>
      <c r="G140" s="1" t="s">
        <v>441</v>
      </c>
      <c r="H140" s="1" t="s">
        <v>170</v>
      </c>
      <c r="I140" s="1" t="s">
        <v>98</v>
      </c>
      <c r="J140" s="1"/>
      <c r="K140" s="1"/>
      <c r="L140" s="1"/>
    </row>
    <row r="141" spans="1:12" x14ac:dyDescent="0.25">
      <c r="A141" s="10"/>
      <c r="B141" s="3" t="s">
        <v>326</v>
      </c>
      <c r="C141" s="3" t="str">
        <f>IF(NOT(ISBLANK(B141)),_xlfn.CONCAT(A141,"[",B141,"]"),"")</f>
        <v>[Probe ID Type]</v>
      </c>
      <c r="D141" s="3"/>
      <c r="E141" s="3" t="s">
        <v>393</v>
      </c>
      <c r="F141" s="3" t="s">
        <v>416</v>
      </c>
      <c r="G141" s="3"/>
      <c r="H141" s="1"/>
      <c r="I141" s="1" t="s">
        <v>105</v>
      </c>
      <c r="J141" s="1"/>
      <c r="K141" s="1"/>
      <c r="L141" s="1"/>
    </row>
    <row r="142" spans="1:12" x14ac:dyDescent="0.25">
      <c r="A142" s="10"/>
      <c r="B142" s="3" t="s">
        <v>110</v>
      </c>
      <c r="C142" s="3" t="str">
        <f>IF(NOT(ISBLANK(B142)),_xlfn.CONCAT(A142,"[",B142,"]"),"")</f>
        <v>[Probe Card Type]</v>
      </c>
      <c r="D142" s="4"/>
      <c r="E142" s="4" t="s">
        <v>394</v>
      </c>
      <c r="F142" s="4" t="s">
        <v>110</v>
      </c>
      <c r="G142" s="4"/>
      <c r="H142" s="1"/>
      <c r="I142" s="1" t="s">
        <v>111</v>
      </c>
      <c r="J142" s="1"/>
      <c r="K142" s="1"/>
      <c r="L142" s="1"/>
    </row>
    <row r="143" spans="1:12" x14ac:dyDescent="0.25">
      <c r="A143" s="10"/>
      <c r="B143" s="3"/>
      <c r="C143" s="3" t="str">
        <f t="shared" si="5"/>
        <v/>
      </c>
      <c r="D143" s="3" t="s">
        <v>484</v>
      </c>
      <c r="E143" s="3"/>
      <c r="F143" s="3" t="s">
        <v>293</v>
      </c>
      <c r="G143" s="3"/>
      <c r="H143" s="1" t="s">
        <v>176</v>
      </c>
      <c r="I143" s="1" t="s">
        <v>112</v>
      </c>
      <c r="J143" s="1"/>
      <c r="K143" s="1"/>
      <c r="L143" s="1"/>
    </row>
    <row r="144" spans="1:12" x14ac:dyDescent="0.25">
      <c r="A144" s="10" t="s">
        <v>432</v>
      </c>
      <c r="B144" s="3" t="s">
        <v>433</v>
      </c>
      <c r="C144" s="3" t="str">
        <f t="shared" si="5"/>
        <v>DwPlm[PAL4_CD]</v>
      </c>
      <c r="D144" s="4" t="s">
        <v>494</v>
      </c>
      <c r="E144" s="4"/>
      <c r="F144" s="4" t="s">
        <v>294</v>
      </c>
      <c r="G144" s="4"/>
      <c r="H144" s="1" t="s">
        <v>453</v>
      </c>
      <c r="I144" s="4" t="s">
        <v>119</v>
      </c>
      <c r="J144" s="1"/>
      <c r="K144" s="1"/>
      <c r="L144" s="10" t="s">
        <v>420</v>
      </c>
    </row>
    <row r="145" spans="1:12" x14ac:dyDescent="0.25">
      <c r="A145" s="10"/>
      <c r="B145" s="3"/>
      <c r="C145" s="3" t="str">
        <f t="shared" si="5"/>
        <v/>
      </c>
      <c r="D145" s="4" t="s">
        <v>472</v>
      </c>
      <c r="E145" s="4" t="s">
        <v>419</v>
      </c>
      <c r="F145" s="4" t="s">
        <v>295</v>
      </c>
      <c r="G145" s="4"/>
      <c r="H145" s="1" t="s">
        <v>454</v>
      </c>
      <c r="I145" s="4" t="s">
        <v>123</v>
      </c>
      <c r="J145" s="1"/>
      <c r="K145" s="1"/>
      <c r="L145" s="1"/>
    </row>
    <row r="146" spans="1:12" x14ac:dyDescent="0.25">
      <c r="A146" s="10"/>
      <c r="B146" s="3"/>
      <c r="C146" s="3" t="str">
        <f t="shared" si="5"/>
        <v/>
      </c>
      <c r="D146" s="4" t="s">
        <v>473</v>
      </c>
      <c r="E146" s="4" t="s">
        <v>419</v>
      </c>
      <c r="F146" s="4" t="s">
        <v>296</v>
      </c>
      <c r="G146" s="4"/>
      <c r="H146" s="1" t="s">
        <v>456</v>
      </c>
      <c r="I146" s="4" t="s">
        <v>124</v>
      </c>
      <c r="J146" s="1"/>
      <c r="K146" s="1"/>
      <c r="L146" s="1"/>
    </row>
    <row r="147" spans="1:12" x14ac:dyDescent="0.25">
      <c r="A147" s="10"/>
      <c r="B147" s="3"/>
      <c r="C147" s="3" t="str">
        <f t="shared" si="5"/>
        <v/>
      </c>
      <c r="D147" s="4" t="s">
        <v>474</v>
      </c>
      <c r="E147" s="4" t="s">
        <v>417</v>
      </c>
      <c r="F147" s="4" t="s">
        <v>297</v>
      </c>
      <c r="G147" s="4"/>
      <c r="H147" s="1" t="s">
        <v>457</v>
      </c>
      <c r="I147" s="4" t="s">
        <v>125</v>
      </c>
      <c r="J147" s="1"/>
      <c r="K147" s="1"/>
      <c r="L147" s="1"/>
    </row>
    <row r="148" spans="1:12" x14ac:dyDescent="0.25">
      <c r="A148" s="10"/>
      <c r="B148" s="3"/>
      <c r="C148" s="3" t="str">
        <f t="shared" si="5"/>
        <v/>
      </c>
      <c r="D148" s="4"/>
      <c r="E148" s="4" t="s">
        <v>418</v>
      </c>
      <c r="F148" s="4" t="s">
        <v>298</v>
      </c>
      <c r="G148" s="4"/>
      <c r="H148" s="1" t="s">
        <v>458</v>
      </c>
      <c r="I148" s="4" t="s">
        <v>126</v>
      </c>
      <c r="J148" s="1"/>
      <c r="K148" s="1"/>
      <c r="L148" s="1"/>
    </row>
    <row r="149" spans="1:12" x14ac:dyDescent="0.25">
      <c r="A149" s="10"/>
      <c r="B149" s="3"/>
      <c r="C149" s="3" t="str">
        <f t="shared" si="5"/>
        <v/>
      </c>
      <c r="D149" s="4" t="s">
        <v>475</v>
      </c>
      <c r="E149" s="4"/>
      <c r="F149" s="4" t="s">
        <v>299</v>
      </c>
      <c r="G149" s="4"/>
      <c r="H149" s="1" t="s">
        <v>459</v>
      </c>
      <c r="I149" s="4" t="s">
        <v>127</v>
      </c>
      <c r="J149" s="1"/>
      <c r="K149" s="1"/>
      <c r="L149" s="1"/>
    </row>
    <row r="150" spans="1:12" x14ac:dyDescent="0.25">
      <c r="A150" s="10"/>
      <c r="B150" s="3"/>
      <c r="C150" s="3" t="str">
        <f t="shared" si="5"/>
        <v/>
      </c>
      <c r="D150" s="4" t="s">
        <v>499</v>
      </c>
      <c r="E150" s="4"/>
      <c r="F150" s="4" t="s">
        <v>300</v>
      </c>
      <c r="G150" s="4"/>
      <c r="H150" s="1" t="s">
        <v>460</v>
      </c>
      <c r="I150" s="4" t="s">
        <v>128</v>
      </c>
      <c r="J150" s="1"/>
      <c r="K150" s="1"/>
      <c r="L150" s="1"/>
    </row>
    <row r="151" spans="1:12" x14ac:dyDescent="0.25">
      <c r="A151" s="10"/>
      <c r="B151" s="3"/>
      <c r="C151" s="3" t="str">
        <f t="shared" si="5"/>
        <v/>
      </c>
      <c r="D151" s="4" t="s">
        <v>491</v>
      </c>
      <c r="E151" s="4"/>
      <c r="F151" s="4" t="s">
        <v>301</v>
      </c>
      <c r="G151" s="4"/>
      <c r="H151" s="1" t="s">
        <v>461</v>
      </c>
      <c r="I151" s="4" t="s">
        <v>130</v>
      </c>
      <c r="J151" s="1"/>
      <c r="K151" s="1"/>
      <c r="L151" s="1"/>
    </row>
    <row r="152" spans="1:12" x14ac:dyDescent="0.25">
      <c r="A152" s="10"/>
      <c r="B152" s="3"/>
      <c r="C152" s="3" t="str">
        <f t="shared" si="5"/>
        <v/>
      </c>
      <c r="D152" s="4" t="s">
        <v>476</v>
      </c>
      <c r="E152" s="4" t="s">
        <v>406</v>
      </c>
      <c r="F152" s="4" t="s">
        <v>302</v>
      </c>
      <c r="G152" s="4"/>
      <c r="H152" s="1" t="s">
        <v>462</v>
      </c>
      <c r="I152" s="4" t="s">
        <v>131</v>
      </c>
      <c r="J152" s="1"/>
      <c r="K152" s="1"/>
      <c r="L152" s="1"/>
    </row>
    <row r="153" spans="1:12" x14ac:dyDescent="0.25">
      <c r="A153" s="10"/>
      <c r="B153" s="3"/>
      <c r="C153" s="3" t="str">
        <f t="shared" si="5"/>
        <v/>
      </c>
      <c r="D153" s="4"/>
      <c r="E153" s="4" t="s">
        <v>407</v>
      </c>
      <c r="F153" s="4" t="s">
        <v>303</v>
      </c>
      <c r="G153" s="4"/>
      <c r="H153" s="1" t="s">
        <v>463</v>
      </c>
      <c r="I153" s="4" t="s">
        <v>132</v>
      </c>
      <c r="J153" s="1"/>
      <c r="K153" s="1"/>
      <c r="L153" s="1"/>
    </row>
    <row r="154" spans="1:12" x14ac:dyDescent="0.25">
      <c r="A154" s="1"/>
      <c r="B154" s="3"/>
      <c r="C154" s="3" t="str">
        <f>IF(NOT(ISBLANK(B154)),_xlfn.CONCAT(A154,"[",B154,"]"),"")</f>
        <v/>
      </c>
      <c r="D154" s="4" t="s">
        <v>477</v>
      </c>
      <c r="E154" s="4"/>
      <c r="F154" s="35" t="s">
        <v>304</v>
      </c>
      <c r="G154" s="35"/>
      <c r="H154" s="1" t="s">
        <v>464</v>
      </c>
      <c r="I154" s="4" t="s">
        <v>133</v>
      </c>
      <c r="J154" s="1"/>
      <c r="K154" s="1"/>
      <c r="L154" s="10" t="s">
        <v>395</v>
      </c>
    </row>
    <row r="155" spans="1:12" x14ac:dyDescent="0.25">
      <c r="A155" s="1" t="s">
        <v>432</v>
      </c>
      <c r="B155" s="4" t="s">
        <v>437</v>
      </c>
      <c r="C155" s="3" t="str">
        <f>IF(NOT(ISBLANK(B155)),_xlfn.CONCAT(A155,"[",B155,"]"),"")</f>
        <v>DwPlm[WFR_FAB_MASK_CONFIG_ID]</v>
      </c>
      <c r="D155" s="4" t="s">
        <v>478</v>
      </c>
      <c r="E155" s="4"/>
      <c r="F155" s="4" t="s">
        <v>305</v>
      </c>
      <c r="G155" s="4"/>
      <c r="H155" s="1" t="s">
        <v>465</v>
      </c>
      <c r="I155" s="4" t="s">
        <v>311</v>
      </c>
      <c r="J155" s="1"/>
      <c r="K155" s="1"/>
      <c r="L155" s="10" t="s">
        <v>420</v>
      </c>
    </row>
    <row r="156" spans="1:12" x14ac:dyDescent="0.25">
      <c r="A156" s="1" t="s">
        <v>432</v>
      </c>
      <c r="B156" s="4" t="s">
        <v>434</v>
      </c>
      <c r="C156" s="3" t="str">
        <f>IF(NOT(ISBLANK(B156)),_xlfn.CONCAT(A156,"[",B156,"]"),"")</f>
        <v>DwPlm[WFR_TECH_VARIANT_ID]</v>
      </c>
      <c r="D156" s="4" t="s">
        <v>479</v>
      </c>
      <c r="E156" s="4"/>
      <c r="F156" s="4" t="s">
        <v>306</v>
      </c>
      <c r="G156" s="4"/>
      <c r="H156" s="1" t="s">
        <v>466</v>
      </c>
      <c r="I156" s="4" t="s">
        <v>135</v>
      </c>
      <c r="J156" s="1"/>
      <c r="K156" s="1"/>
      <c r="L156" s="10" t="s">
        <v>420</v>
      </c>
    </row>
    <row r="157" spans="1:12" x14ac:dyDescent="0.25">
      <c r="A157" s="1"/>
      <c r="B157" s="4" t="s">
        <v>285</v>
      </c>
      <c r="C157" s="3" t="str">
        <f>IF(NOT(ISBLANK(B157)),_xlfn.CONCAT(A157,"[",B157,"]"),"")</f>
        <v>[Test Head]</v>
      </c>
      <c r="D157" s="4" t="s">
        <v>485</v>
      </c>
      <c r="E157" s="4"/>
      <c r="F157" s="4" t="s">
        <v>285</v>
      </c>
      <c r="G157" s="4"/>
      <c r="H157" s="1" t="s">
        <v>467</v>
      </c>
      <c r="I157" s="4" t="s">
        <v>136</v>
      </c>
      <c r="J157" s="1"/>
      <c r="K157" s="1"/>
      <c r="L157" s="10"/>
    </row>
    <row r="158" spans="1:12" x14ac:dyDescent="0.25">
      <c r="A158" s="1" t="s">
        <v>432</v>
      </c>
      <c r="B158" s="4" t="s">
        <v>435</v>
      </c>
      <c r="C158" s="3" t="str">
        <f>IF(NOT(ISBLANK(B158)),_xlfn.CONCAT(A158,"[",B158,"]"),"")</f>
        <v>DwPlm[WFR_FAB_MASK]</v>
      </c>
      <c r="D158" s="4" t="s">
        <v>480</v>
      </c>
      <c r="E158" s="4"/>
      <c r="F158" s="4" t="s">
        <v>307</v>
      </c>
      <c r="G158" s="4"/>
      <c r="H158" s="1" t="s">
        <v>468</v>
      </c>
      <c r="I158" s="4" t="s">
        <v>137</v>
      </c>
      <c r="J158" s="1"/>
      <c r="K158" s="1"/>
      <c r="L158" s="10" t="s">
        <v>436</v>
      </c>
    </row>
    <row r="159" spans="1:12" x14ac:dyDescent="0.25">
      <c r="A159" s="10"/>
      <c r="B159" s="4" t="s">
        <v>308</v>
      </c>
      <c r="C159" s="3" t="str">
        <f t="shared" si="5"/>
        <v>[Card Lens Module]</v>
      </c>
      <c r="D159" s="4"/>
      <c r="E159" s="4"/>
      <c r="F159" s="4" t="s">
        <v>308</v>
      </c>
      <c r="G159" s="4"/>
      <c r="H159" s="1" t="s">
        <v>469</v>
      </c>
      <c r="I159" s="4" t="s">
        <v>138</v>
      </c>
      <c r="J159" s="1"/>
      <c r="K159" s="1"/>
      <c r="L159" s="1" t="s">
        <v>396</v>
      </c>
    </row>
    <row r="160" spans="1:12" x14ac:dyDescent="0.25">
      <c r="A160" s="10"/>
      <c r="B160" s="4" t="s">
        <v>309</v>
      </c>
      <c r="C160" s="3" t="str">
        <f t="shared" si="5"/>
        <v>[Subcon Product]</v>
      </c>
      <c r="D160" s="4" t="s">
        <v>481</v>
      </c>
      <c r="E160" s="4"/>
      <c r="F160" s="4" t="s">
        <v>309</v>
      </c>
      <c r="G160" s="4"/>
      <c r="H160" s="1" t="s">
        <v>470</v>
      </c>
      <c r="I160" s="4" t="s">
        <v>140</v>
      </c>
      <c r="J160" s="1"/>
      <c r="K160" s="1"/>
      <c r="L160" s="1"/>
    </row>
    <row r="161" spans="1:12" x14ac:dyDescent="0.25">
      <c r="A161" s="10"/>
      <c r="B161" s="3"/>
      <c r="C161" s="3" t="str">
        <f t="shared" si="5"/>
        <v/>
      </c>
      <c r="D161" s="4"/>
      <c r="E161" s="4"/>
      <c r="F161" s="4" t="s">
        <v>310</v>
      </c>
      <c r="G161" s="4"/>
      <c r="H161" s="1" t="s">
        <v>471</v>
      </c>
      <c r="I161" s="4" t="s">
        <v>141</v>
      </c>
      <c r="J161" s="1"/>
      <c r="K161" s="1"/>
      <c r="L161" s="1"/>
    </row>
    <row r="162" spans="1:12" x14ac:dyDescent="0.25">
      <c r="A162" s="10"/>
      <c r="B162" s="4" t="s">
        <v>199</v>
      </c>
      <c r="C162" s="3" t="str">
        <f t="shared" si="5"/>
        <v>[Serial/Sequence Number]</v>
      </c>
      <c r="D162" s="4"/>
      <c r="E162" s="4" t="s">
        <v>397</v>
      </c>
      <c r="F162" s="4" t="s">
        <v>199</v>
      </c>
      <c r="G162" s="4"/>
      <c r="H162" s="1" t="s">
        <v>327</v>
      </c>
      <c r="I162" s="1" t="s">
        <v>312</v>
      </c>
      <c r="J162" s="1" t="s">
        <v>314</v>
      </c>
      <c r="K162" s="1" t="s">
        <v>320</v>
      </c>
      <c r="L162" s="1"/>
    </row>
    <row r="163" spans="1:12" ht="135" x14ac:dyDescent="0.25">
      <c r="A163" s="10"/>
      <c r="B163" s="3" t="s">
        <v>200</v>
      </c>
      <c r="C163" s="3" t="str">
        <f t="shared" si="5"/>
        <v>[ECID]</v>
      </c>
      <c r="D163" s="4"/>
      <c r="E163" s="4"/>
      <c r="F163" s="4" t="s">
        <v>200</v>
      </c>
      <c r="G163" s="4"/>
      <c r="H163" s="1" t="s">
        <v>328</v>
      </c>
      <c r="I163" s="1" t="s">
        <v>312</v>
      </c>
      <c r="J163" s="1" t="s">
        <v>314</v>
      </c>
      <c r="K163" s="1" t="s">
        <v>321</v>
      </c>
      <c r="L163" s="34" t="s">
        <v>398</v>
      </c>
    </row>
    <row r="164" spans="1:12" x14ac:dyDescent="0.25">
      <c r="A164" s="10"/>
      <c r="B164" s="4" t="s">
        <v>201</v>
      </c>
      <c r="C164" s="3" t="str">
        <f t="shared" si="5"/>
        <v>[Part Pass/Fail Flag (from tester)]</v>
      </c>
      <c r="D164" s="4"/>
      <c r="E164" s="4"/>
      <c r="F164" s="4" t="s">
        <v>201</v>
      </c>
      <c r="G164" s="4"/>
      <c r="H164" s="31" t="s">
        <v>329</v>
      </c>
      <c r="I164" s="1" t="s">
        <v>312</v>
      </c>
      <c r="J164" s="1" t="s">
        <v>313</v>
      </c>
      <c r="K164" s="1" t="s">
        <v>321</v>
      </c>
      <c r="L164" s="1" t="s">
        <v>399</v>
      </c>
    </row>
    <row r="165" spans="1:12" x14ac:dyDescent="0.25">
      <c r="A165" s="10"/>
      <c r="B165" s="3"/>
      <c r="C165" s="3" t="str">
        <f t="shared" si="5"/>
        <v/>
      </c>
      <c r="D165" s="4"/>
      <c r="E165" s="4"/>
      <c r="F165" s="4" t="s">
        <v>202</v>
      </c>
      <c r="G165" s="4"/>
      <c r="H165" s="1"/>
      <c r="I165" s="1"/>
      <c r="J165" s="1"/>
      <c r="K165" s="1"/>
      <c r="L165" s="1" t="s">
        <v>400</v>
      </c>
    </row>
    <row r="166" spans="1:12" x14ac:dyDescent="0.25">
      <c r="A166" s="10"/>
      <c r="B166" s="3"/>
      <c r="C166" s="3" t="str">
        <f t="shared" si="5"/>
        <v/>
      </c>
      <c r="D166" s="4"/>
      <c r="E166" s="4"/>
      <c r="F166" s="4" t="s">
        <v>203</v>
      </c>
      <c r="G166" s="4"/>
      <c r="H166" s="1"/>
      <c r="I166" s="1"/>
      <c r="J166" s="1"/>
      <c r="K166" s="1"/>
      <c r="L166" s="1" t="s">
        <v>400</v>
      </c>
    </row>
    <row r="167" spans="1:12" x14ac:dyDescent="0.25">
      <c r="A167" s="10"/>
      <c r="B167" s="4" t="s">
        <v>204</v>
      </c>
      <c r="C167" s="3" t="str">
        <f t="shared" si="5"/>
        <v>[Test Execution Time]</v>
      </c>
      <c r="D167" s="4"/>
      <c r="E167" s="4" t="s">
        <v>401</v>
      </c>
      <c r="F167" s="4" t="s">
        <v>204</v>
      </c>
      <c r="G167" s="4"/>
      <c r="H167" s="1"/>
      <c r="I167" s="1" t="s">
        <v>336</v>
      </c>
      <c r="J167" s="1"/>
      <c r="K167" s="1"/>
      <c r="L167" s="1" t="s">
        <v>402</v>
      </c>
    </row>
    <row r="168" spans="1:12" x14ac:dyDescent="0.25">
      <c r="A168" s="10"/>
      <c r="B168" s="4" t="s">
        <v>206</v>
      </c>
      <c r="C168" s="3" t="str">
        <f t="shared" si="5"/>
        <v>[BinDesc]</v>
      </c>
      <c r="D168" s="4"/>
      <c r="E168" s="4" t="s">
        <v>403</v>
      </c>
      <c r="F168" s="4" t="s">
        <v>206</v>
      </c>
      <c r="G168" s="4"/>
      <c r="H168" s="32" t="s">
        <v>330</v>
      </c>
      <c r="I168" s="1" t="s">
        <v>312</v>
      </c>
      <c r="J168" s="1" t="s">
        <v>313</v>
      </c>
      <c r="K168" s="1" t="s">
        <v>321</v>
      </c>
      <c r="L168" s="1"/>
    </row>
    <row r="169" spans="1:12" x14ac:dyDescent="0.25">
      <c r="A169" s="10"/>
      <c r="B169" s="3"/>
      <c r="C169" s="3" t="str">
        <f t="shared" si="5"/>
        <v/>
      </c>
      <c r="D169" s="4"/>
      <c r="E169" s="4"/>
      <c r="F169" s="4" t="s">
        <v>209</v>
      </c>
      <c r="G169" s="4"/>
      <c r="H169" s="1"/>
      <c r="I169" s="1" t="s">
        <v>337</v>
      </c>
      <c r="J169" s="1" t="s">
        <v>314</v>
      </c>
      <c r="K169" s="1" t="s">
        <v>321</v>
      </c>
      <c r="L169" s="1"/>
    </row>
    <row r="170" spans="1:12" x14ac:dyDescent="0.25">
      <c r="A170" s="10"/>
      <c r="B170" s="3"/>
      <c r="C170" s="3" t="str">
        <f>IF(NOT(ISBLANK(B170)),_xlfn.CONCAT(A170,"[",B170,"]"),"")</f>
        <v/>
      </c>
      <c r="D170" s="3"/>
      <c r="E170" s="1"/>
      <c r="F170" s="15" t="s">
        <v>210</v>
      </c>
      <c r="G170" s="15"/>
      <c r="H170" s="1"/>
      <c r="I170" s="1"/>
      <c r="J170" s="1"/>
      <c r="K170" s="1"/>
      <c r="L170" s="1" t="s">
        <v>404</v>
      </c>
    </row>
    <row r="171" spans="1:12" ht="30" x14ac:dyDescent="0.25">
      <c r="A171" s="10"/>
      <c r="B171" s="1" t="s">
        <v>315</v>
      </c>
      <c r="C171" s="3" t="str">
        <f t="shared" ref="C171:C172" si="6">IF(NOT(ISBLANK(B171)),_xlfn.CONCAT(A171,"[",B171,"]"),"")</f>
        <v>[orig_x]</v>
      </c>
      <c r="D171" s="3"/>
      <c r="E171" s="3"/>
      <c r="F171" s="1" t="s">
        <v>315</v>
      </c>
      <c r="G171" s="1"/>
      <c r="H171" s="1" t="s">
        <v>315</v>
      </c>
      <c r="I171" s="1" t="s">
        <v>312</v>
      </c>
      <c r="J171" s="1" t="s">
        <v>313</v>
      </c>
      <c r="K171" s="1" t="s">
        <v>320</v>
      </c>
      <c r="L171" s="33" t="s">
        <v>338</v>
      </c>
    </row>
    <row r="172" spans="1:12" ht="30" x14ac:dyDescent="0.25">
      <c r="A172" s="10"/>
      <c r="B172" s="1" t="s">
        <v>316</v>
      </c>
      <c r="C172" s="3" t="str">
        <f t="shared" si="6"/>
        <v>[orig_y]</v>
      </c>
      <c r="D172" s="3"/>
      <c r="E172" s="3"/>
      <c r="F172" s="1" t="s">
        <v>316</v>
      </c>
      <c r="G172" s="1"/>
      <c r="H172" s="1" t="s">
        <v>316</v>
      </c>
      <c r="I172" s="1" t="s">
        <v>312</v>
      </c>
      <c r="J172" s="1" t="s">
        <v>313</v>
      </c>
      <c r="K172" s="1" t="s">
        <v>320</v>
      </c>
      <c r="L172" s="33" t="s">
        <v>338</v>
      </c>
    </row>
    <row r="173" spans="1:12" x14ac:dyDescent="0.25">
      <c r="A173" s="10"/>
      <c r="B173" s="1" t="s">
        <v>317</v>
      </c>
      <c r="C173" s="3" t="str">
        <f t="shared" ref="C173" si="7">IF(NOT(ISBLANK(B173)),_xlfn.CONCAT(A173,"[",B173,"]"),"")</f>
        <v>[reticle_x]</v>
      </c>
      <c r="D173" s="3"/>
      <c r="E173" s="3"/>
      <c r="F173" s="1" t="s">
        <v>317</v>
      </c>
      <c r="G173" s="1"/>
      <c r="H173" s="1" t="s">
        <v>317</v>
      </c>
      <c r="I173" s="1" t="s">
        <v>312</v>
      </c>
      <c r="J173" s="1" t="s">
        <v>313</v>
      </c>
      <c r="K173" s="1" t="s">
        <v>320</v>
      </c>
      <c r="L173" s="1" t="s">
        <v>323</v>
      </c>
    </row>
    <row r="174" spans="1:12" x14ac:dyDescent="0.25">
      <c r="A174" s="10"/>
      <c r="B174" s="4" t="s">
        <v>318</v>
      </c>
      <c r="C174" s="3" t="str">
        <f>IF(NOT(ISBLANK(B174)),_xlfn.CONCAT(A174,"[",B174,"]"),"")</f>
        <v>[recitcle_y]</v>
      </c>
      <c r="D174" s="4"/>
      <c r="E174" s="4"/>
      <c r="F174" s="4" t="s">
        <v>318</v>
      </c>
      <c r="G174" s="4"/>
      <c r="H174" s="4" t="s">
        <v>318</v>
      </c>
      <c r="I174" s="1" t="s">
        <v>312</v>
      </c>
      <c r="J174" s="1" t="s">
        <v>313</v>
      </c>
      <c r="K174" s="1" t="s">
        <v>320</v>
      </c>
      <c r="L174" s="1" t="s">
        <v>323</v>
      </c>
    </row>
    <row r="175" spans="1:12" x14ac:dyDescent="0.25">
      <c r="A175" s="10"/>
      <c r="B175" s="4" t="s">
        <v>331</v>
      </c>
      <c r="C175" s="3" t="str">
        <f t="shared" ref="C175:C176" si="8">IF(NOT(ISBLANK(B175)),_xlfn.CONCAT(A175,"[",B175,"]"),"")</f>
        <v>[Test site ID]</v>
      </c>
      <c r="D175" s="4"/>
      <c r="E175" s="4" t="s">
        <v>405</v>
      </c>
      <c r="F175" s="4" t="s">
        <v>331</v>
      </c>
      <c r="G175" s="4"/>
      <c r="H175" s="1" t="s">
        <v>332</v>
      </c>
      <c r="I175" s="1" t="s">
        <v>312</v>
      </c>
      <c r="J175" s="1" t="s">
        <v>313</v>
      </c>
      <c r="K175" s="1" t="s">
        <v>320</v>
      </c>
      <c r="L175" s="1"/>
    </row>
    <row r="176" spans="1:12" x14ac:dyDescent="0.25">
      <c r="A176" s="10"/>
      <c r="B176" s="4" t="s">
        <v>333</v>
      </c>
      <c r="C176" s="3" t="str">
        <f t="shared" si="8"/>
        <v>[Touchdown number]</v>
      </c>
      <c r="D176" s="4"/>
      <c r="E176" s="4"/>
      <c r="F176" s="4" t="s">
        <v>333</v>
      </c>
      <c r="G176" s="4"/>
      <c r="H176" s="1" t="s">
        <v>334</v>
      </c>
      <c r="I176" s="1" t="s">
        <v>312</v>
      </c>
      <c r="J176" s="1" t="s">
        <v>313</v>
      </c>
      <c r="K176" s="1" t="s">
        <v>320</v>
      </c>
      <c r="L176" s="1" t="s">
        <v>400</v>
      </c>
    </row>
    <row r="177" spans="1:12" x14ac:dyDescent="0.25">
      <c r="A177" s="10"/>
      <c r="B177" s="3"/>
      <c r="C177" s="3" t="str">
        <f>IF(NOT(ISBLANK(B177)),_xlfn.CONCAT(A177,"[",B177,"]"),"")</f>
        <v/>
      </c>
      <c r="D177" s="4"/>
      <c r="E177" s="4"/>
      <c r="F177" s="4"/>
      <c r="G177" s="4"/>
      <c r="H177" s="1"/>
      <c r="I177" s="1"/>
      <c r="J177" s="1"/>
      <c r="K177" s="1"/>
      <c r="L177" s="1"/>
    </row>
    <row r="178" spans="1:12" x14ac:dyDescent="0.25">
      <c r="A178" s="10"/>
      <c r="B178" s="4"/>
      <c r="C178" s="3"/>
      <c r="D178" s="4"/>
      <c r="E178" s="4"/>
      <c r="F178" s="4"/>
      <c r="G178" s="4"/>
      <c r="H178" s="1"/>
      <c r="I178" s="1"/>
      <c r="J178" s="1"/>
      <c r="K178" s="1"/>
      <c r="L178" s="1"/>
    </row>
  </sheetData>
  <phoneticPr fontId="4" type="noConversion"/>
  <conditionalFormatting sqref="F2:G26 F28:G72 F74:G75 F77:G139 F141:G178 F140">
    <cfRule type="containsBlanks" dxfId="16" priority="56">
      <formula>LEN(TRIM(F2))=0</formula>
    </cfRule>
  </conditionalFormatting>
  <conditionalFormatting sqref="H2:H11 H28:H72 H74:H75 H13:H26 H77:H178">
    <cfRule type="expression" dxfId="15" priority="50">
      <formula>OR(ISBLANK(F2), AND(ISBLANK(H2), NOT(LEFT(TRIM(I2), 6)="op_log")))</formula>
    </cfRule>
  </conditionalFormatting>
  <conditionalFormatting sqref="J2:K8 J74:K75 J10:K72 J77:K178">
    <cfRule type="expression" dxfId="14" priority="48">
      <formula>AND(ISBLANK(J2), LEFT(TRIM($I2), 3)="res")</formula>
    </cfRule>
  </conditionalFormatting>
  <conditionalFormatting sqref="C27:E27">
    <cfRule type="duplicateValues" dxfId="13" priority="12"/>
  </conditionalFormatting>
  <conditionalFormatting sqref="F27">
    <cfRule type="containsBlanks" dxfId="12" priority="11">
      <formula>LEN(TRIM(F27))=0</formula>
    </cfRule>
  </conditionalFormatting>
  <conditionalFormatting sqref="H27">
    <cfRule type="expression" dxfId="11" priority="10">
      <formula>OR(ISBLANK(F27), AND(ISBLANK(H27), NOT(LEFT(TRIM(I27), 6)="op_log")))</formula>
    </cfRule>
  </conditionalFormatting>
  <conditionalFormatting sqref="F73">
    <cfRule type="containsBlanks" dxfId="10" priority="8">
      <formula>LEN(TRIM(F73))=0</formula>
    </cfRule>
  </conditionalFormatting>
  <conditionalFormatting sqref="H73">
    <cfRule type="expression" dxfId="9" priority="7">
      <formula>OR(ISBLANK(F73), AND(ISBLANK(H73), NOT(LEFT(TRIM(I73), 6)="op_log")))</formula>
    </cfRule>
  </conditionalFormatting>
  <conditionalFormatting sqref="J73:K73">
    <cfRule type="expression" dxfId="8" priority="6">
      <formula>AND(ISBLANK(J73), LEFT(TRIM($I73), 3)="res")</formula>
    </cfRule>
  </conditionalFormatting>
  <conditionalFormatting sqref="E73">
    <cfRule type="duplicateValues" dxfId="7" priority="9"/>
  </conditionalFormatting>
  <conditionalFormatting sqref="F76:G76">
    <cfRule type="containsBlanks" dxfId="6" priority="4">
      <formula>LEN(TRIM(F76))=0</formula>
    </cfRule>
  </conditionalFormatting>
  <conditionalFormatting sqref="H76">
    <cfRule type="expression" dxfId="5" priority="3">
      <formula>OR(ISBLANK(F76), AND(ISBLANK(H76), NOT(LEFT(TRIM(I76), 6)="op_log")))</formula>
    </cfRule>
  </conditionalFormatting>
  <conditionalFormatting sqref="J76:K76">
    <cfRule type="expression" dxfId="4" priority="2">
      <formula>AND(ISBLANK(J76), LEFT(TRIM($I76), 3)="res")</formula>
    </cfRule>
  </conditionalFormatting>
  <conditionalFormatting sqref="E76">
    <cfRule type="duplicateValues" dxfId="3" priority="5"/>
  </conditionalFormatting>
  <conditionalFormatting sqref="J9:K9">
    <cfRule type="expression" dxfId="2" priority="1">
      <formula>AND(ISBLANK(J9), LEFT(TRIM($I9), 3)="res")</formula>
    </cfRule>
  </conditionalFormatting>
  <conditionalFormatting sqref="C2:E26 C28:E39 C40:D40 C41:E72 C74:E75 C73:D73 C77:E178 C76:D76">
    <cfRule type="duplicateValues" dxfId="1" priority="160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F64C378AEED34CA0ABDA1C5A6689B7" ma:contentTypeVersion="1" ma:contentTypeDescription="Create a new document." ma:contentTypeScope="" ma:versionID="26dc121502b3c7f92fcb7b98b910bd68">
  <xsd:schema xmlns:xsd="http://www.w3.org/2001/XMLSchema" xmlns:xs="http://www.w3.org/2001/XMLSchema" xmlns:p="http://schemas.microsoft.com/office/2006/metadata/properties" xmlns:ns2="2c9b3ae5-821b-472b-add1-8651a8877b46" xmlns:ns3="http://schemas.microsoft.com/sharepoint/v4" targetNamespace="http://schemas.microsoft.com/office/2006/metadata/properties" ma:root="true" ma:fieldsID="fa89aa90885c65f40bda12152655fcfd" ns2:_="" ns3:_="">
    <xsd:import namespace="2c9b3ae5-821b-472b-add1-8651a8877b4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b3ae5-821b-472b-add1-8651a8877b4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2c9b3ae5-821b-472b-add1-8651a8877b46">NR4ENSHJ6D55-1323148021-982</_dlc_DocId>
    <_dlc_DocIdUrl xmlns="2c9b3ae5-821b-472b-add1-8651a8877b46">
      <Url>http://theconnection.onsemi.com/it/cim/yqs/_layouts/15/DocIdRedir.aspx?ID=NR4ENSHJ6D55-1323148021-982</Url>
      <Description>NR4ENSHJ6D55-1323148021-982</Description>
    </_dlc_DocIdUrl>
  </documentManagement>
</p:properties>
</file>

<file path=customXml/itemProps1.xml><?xml version="1.0" encoding="utf-8"?>
<ds:datastoreItem xmlns:ds="http://schemas.openxmlformats.org/officeDocument/2006/customXml" ds:itemID="{C8773F32-CC12-448C-8627-28A105A4BFA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D71AA9E-0FE0-49CF-BC71-B2E1125C7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9b3ae5-821b-472b-add1-8651a8877b4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1CAE88-3BF5-48D0-83DA-D3212A8C987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394CF7-D4A5-449D-9B92-489E0C515398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8293060-76DB-4CC5-86A0-BBE2CA74F47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2c9b3ae5-821b-472b-add1-8651a8877b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1-probe_parametric-sxml</vt:lpstr>
      <vt:lpstr>1-probe_parametric_lim-sxml</vt:lpstr>
      <vt:lpstr>4-bin_map-sxml</vt:lpstr>
      <vt:lpstr>31-probe_test_fail_summary-sxml</vt:lpstr>
      <vt:lpstr>Field List</vt:lpstr>
      <vt:lpstr>Mapping</vt:lpstr>
    </vt:vector>
  </TitlesOfParts>
  <Manager/>
  <Company>ON Semiconductor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Alfanta</dc:creator>
  <cp:keywords/>
  <dc:description/>
  <cp:lastModifiedBy>Tomáš Sára</cp:lastModifiedBy>
  <cp:revision/>
  <dcterms:created xsi:type="dcterms:W3CDTF">2020-08-11T01:05:52Z</dcterms:created>
  <dcterms:modified xsi:type="dcterms:W3CDTF">2021-02-19T13:22:16Z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0x0101007DF64C378AEED34CA0ABDA1C5A6689B7</vt:lpwstr>
  </property>
  <property fmtid="{D5CDD505-2E9C-101B-9397-08002B2CF9AE}" pid="3" name="_dlc_DocIdItemGuid">
    <vt:lpwstr>315cbef0-86d3-490c-9e6a-aa486cfccb9a</vt:lpwstr>
  </property>
</Properties>
</file>